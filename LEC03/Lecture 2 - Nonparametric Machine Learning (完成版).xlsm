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bookViews>
    <workbookView xWindow="0" yWindow="0" windowWidth="15360" windowHeight="8205"/>
  </bookViews>
  <sheets>
    <sheet name="Back Testing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6" i="1"/>
  <c r="F6" i="1"/>
  <c r="H9" i="1"/>
  <c r="H13" i="1"/>
  <c r="H17" i="1"/>
  <c r="H21" i="1"/>
  <c r="H25" i="1"/>
  <c r="H29" i="1"/>
  <c r="H33" i="1"/>
  <c r="H37" i="1"/>
  <c r="H41" i="1"/>
  <c r="H45" i="1"/>
  <c r="H49" i="1"/>
  <c r="H53" i="1"/>
  <c r="H57" i="1"/>
  <c r="H61" i="1"/>
  <c r="H65" i="1"/>
  <c r="H69" i="1"/>
  <c r="H73" i="1"/>
  <c r="H77" i="1"/>
  <c r="H81" i="1"/>
  <c r="H85" i="1"/>
  <c r="H89" i="1"/>
  <c r="H93" i="1"/>
  <c r="H97" i="1"/>
  <c r="H101" i="1"/>
  <c r="H105" i="1"/>
  <c r="H109" i="1"/>
  <c r="H113" i="1"/>
  <c r="H117" i="1"/>
  <c r="H121" i="1"/>
  <c r="H125" i="1"/>
  <c r="H129" i="1"/>
  <c r="H133" i="1"/>
  <c r="H137" i="1"/>
  <c r="H141" i="1"/>
  <c r="H145" i="1"/>
  <c r="H149" i="1"/>
  <c r="H153" i="1"/>
  <c r="H157" i="1"/>
  <c r="H161" i="1"/>
  <c r="H165" i="1"/>
  <c r="H169" i="1"/>
  <c r="H173" i="1"/>
  <c r="H177" i="1"/>
  <c r="H181" i="1"/>
  <c r="H185" i="1"/>
  <c r="H189" i="1"/>
  <c r="H193" i="1"/>
  <c r="H197" i="1"/>
  <c r="H201" i="1"/>
  <c r="H205" i="1"/>
  <c r="H209" i="1"/>
  <c r="H213" i="1"/>
  <c r="H217" i="1"/>
  <c r="H221" i="1"/>
  <c r="H225" i="1"/>
  <c r="H229" i="1"/>
  <c r="H233" i="1"/>
  <c r="H237" i="1"/>
  <c r="H241" i="1"/>
  <c r="H245" i="1"/>
  <c r="H249" i="1"/>
  <c r="H253" i="1"/>
  <c r="H257" i="1"/>
  <c r="H261" i="1"/>
  <c r="H265" i="1"/>
  <c r="H269" i="1"/>
  <c r="H273" i="1"/>
  <c r="H277" i="1"/>
  <c r="H281" i="1"/>
  <c r="H285" i="1"/>
  <c r="H289" i="1"/>
  <c r="H297" i="1"/>
  <c r="H301" i="1"/>
  <c r="H305" i="1"/>
  <c r="H313" i="1"/>
  <c r="H321" i="1"/>
  <c r="H329" i="1"/>
  <c r="H337" i="1"/>
  <c r="H345" i="1"/>
  <c r="H353" i="1"/>
  <c r="H361" i="1"/>
  <c r="H369" i="1"/>
  <c r="H286" i="1"/>
  <c r="H310" i="1"/>
  <c r="H326" i="1"/>
  <c r="H338" i="1"/>
  <c r="H354" i="1"/>
  <c r="H370" i="1"/>
  <c r="H10" i="1"/>
  <c r="H14" i="1"/>
  <c r="H18" i="1"/>
  <c r="H22" i="1"/>
  <c r="H26" i="1"/>
  <c r="H30" i="1"/>
  <c r="H34" i="1"/>
  <c r="H38" i="1"/>
  <c r="H42" i="1"/>
  <c r="H46" i="1"/>
  <c r="H50" i="1"/>
  <c r="H54" i="1"/>
  <c r="H58" i="1"/>
  <c r="H62" i="1"/>
  <c r="H66" i="1"/>
  <c r="H70" i="1"/>
  <c r="H74" i="1"/>
  <c r="H78" i="1"/>
  <c r="H82" i="1"/>
  <c r="H86" i="1"/>
  <c r="H90" i="1"/>
  <c r="H94" i="1"/>
  <c r="H98" i="1"/>
  <c r="H102" i="1"/>
  <c r="H106" i="1"/>
  <c r="H110" i="1"/>
  <c r="H114" i="1"/>
  <c r="H118" i="1"/>
  <c r="H122" i="1"/>
  <c r="H126" i="1"/>
  <c r="H130" i="1"/>
  <c r="H134" i="1"/>
  <c r="H138" i="1"/>
  <c r="H142" i="1"/>
  <c r="H146" i="1"/>
  <c r="H150" i="1"/>
  <c r="H154" i="1"/>
  <c r="H158" i="1"/>
  <c r="H162" i="1"/>
  <c r="H166" i="1"/>
  <c r="H170" i="1"/>
  <c r="H174" i="1"/>
  <c r="H178" i="1"/>
  <c r="H182" i="1"/>
  <c r="H186" i="1"/>
  <c r="H190" i="1"/>
  <c r="H194" i="1"/>
  <c r="H198" i="1"/>
  <c r="H202" i="1"/>
  <c r="H206" i="1"/>
  <c r="H210" i="1"/>
  <c r="H214" i="1"/>
  <c r="H218" i="1"/>
  <c r="H222" i="1"/>
  <c r="H226" i="1"/>
  <c r="H230" i="1"/>
  <c r="H234" i="1"/>
  <c r="H238" i="1"/>
  <c r="H242" i="1"/>
  <c r="H246" i="1"/>
  <c r="H250" i="1"/>
  <c r="H254" i="1"/>
  <c r="H258" i="1"/>
  <c r="H262" i="1"/>
  <c r="H266" i="1"/>
  <c r="H270" i="1"/>
  <c r="H274" i="1"/>
  <c r="H278" i="1"/>
  <c r="H282" i="1"/>
  <c r="H298" i="1"/>
  <c r="H302" i="1"/>
  <c r="H322" i="1"/>
  <c r="H342" i="1"/>
  <c r="H362" i="1"/>
  <c r="H11" i="1"/>
  <c r="H15" i="1"/>
  <c r="H19" i="1"/>
  <c r="H23" i="1"/>
  <c r="H27" i="1"/>
  <c r="H31" i="1"/>
  <c r="H35" i="1"/>
  <c r="H39" i="1"/>
  <c r="H43" i="1"/>
  <c r="H47" i="1"/>
  <c r="H51" i="1"/>
  <c r="H55" i="1"/>
  <c r="H59" i="1"/>
  <c r="H63" i="1"/>
  <c r="H67" i="1"/>
  <c r="H71" i="1"/>
  <c r="H75" i="1"/>
  <c r="H79" i="1"/>
  <c r="H83" i="1"/>
  <c r="H87" i="1"/>
  <c r="H91" i="1"/>
  <c r="H95" i="1"/>
  <c r="H99" i="1"/>
  <c r="H103" i="1"/>
  <c r="H107" i="1"/>
  <c r="H111" i="1"/>
  <c r="H115" i="1"/>
  <c r="H119" i="1"/>
  <c r="H123" i="1"/>
  <c r="H127" i="1"/>
  <c r="H131" i="1"/>
  <c r="H135" i="1"/>
  <c r="H139" i="1"/>
  <c r="H143" i="1"/>
  <c r="H147" i="1"/>
  <c r="H151" i="1"/>
  <c r="H155" i="1"/>
  <c r="H159" i="1"/>
  <c r="H163" i="1"/>
  <c r="H167" i="1"/>
  <c r="H171" i="1"/>
  <c r="H175" i="1"/>
  <c r="H179" i="1"/>
  <c r="H183" i="1"/>
  <c r="H187" i="1"/>
  <c r="H191" i="1"/>
  <c r="H195" i="1"/>
  <c r="H199" i="1"/>
  <c r="H203" i="1"/>
  <c r="H207" i="1"/>
  <c r="H211" i="1"/>
  <c r="H215" i="1"/>
  <c r="H219" i="1"/>
  <c r="H223" i="1"/>
  <c r="H227" i="1"/>
  <c r="H231" i="1"/>
  <c r="H235" i="1"/>
  <c r="H239" i="1"/>
  <c r="H243" i="1"/>
  <c r="H247" i="1"/>
  <c r="H251" i="1"/>
  <c r="H255" i="1"/>
  <c r="H259" i="1"/>
  <c r="H263" i="1"/>
  <c r="H267" i="1"/>
  <c r="H271" i="1"/>
  <c r="H275" i="1"/>
  <c r="H279" i="1"/>
  <c r="H283" i="1"/>
  <c r="H287" i="1"/>
  <c r="H291" i="1"/>
  <c r="H295" i="1"/>
  <c r="H299" i="1"/>
  <c r="H303" i="1"/>
  <c r="H307" i="1"/>
  <c r="H311" i="1"/>
  <c r="H315" i="1"/>
  <c r="H319" i="1"/>
  <c r="H323" i="1"/>
  <c r="H327" i="1"/>
  <c r="H331" i="1"/>
  <c r="H335" i="1"/>
  <c r="H339" i="1"/>
  <c r="H343" i="1"/>
  <c r="H347" i="1"/>
  <c r="H351" i="1"/>
  <c r="H355" i="1"/>
  <c r="H359" i="1"/>
  <c r="H363" i="1"/>
  <c r="H367" i="1"/>
  <c r="H371" i="1"/>
  <c r="H290" i="1"/>
  <c r="H318" i="1"/>
  <c r="H334" i="1"/>
  <c r="H350" i="1"/>
  <c r="H366" i="1"/>
  <c r="H12" i="1"/>
  <c r="H16" i="1"/>
  <c r="H20" i="1"/>
  <c r="H24" i="1"/>
  <c r="H28" i="1"/>
  <c r="H32" i="1"/>
  <c r="H36" i="1"/>
  <c r="H40" i="1"/>
  <c r="H44" i="1"/>
  <c r="H48" i="1"/>
  <c r="H52" i="1"/>
  <c r="H56" i="1"/>
  <c r="H60" i="1"/>
  <c r="H64" i="1"/>
  <c r="H68" i="1"/>
  <c r="H72" i="1"/>
  <c r="H76" i="1"/>
  <c r="H80" i="1"/>
  <c r="H84" i="1"/>
  <c r="H88" i="1"/>
  <c r="H92" i="1"/>
  <c r="H96" i="1"/>
  <c r="H100" i="1"/>
  <c r="H104" i="1"/>
  <c r="H108" i="1"/>
  <c r="H112" i="1"/>
  <c r="H116" i="1"/>
  <c r="H120" i="1"/>
  <c r="H124" i="1"/>
  <c r="H128" i="1"/>
  <c r="H132" i="1"/>
  <c r="H136" i="1"/>
  <c r="H140" i="1"/>
  <c r="H144" i="1"/>
  <c r="H148" i="1"/>
  <c r="H152" i="1"/>
  <c r="H156" i="1"/>
  <c r="H160" i="1"/>
  <c r="H164" i="1"/>
  <c r="H168" i="1"/>
  <c r="H172" i="1"/>
  <c r="H176" i="1"/>
  <c r="H180" i="1"/>
  <c r="H184" i="1"/>
  <c r="H188" i="1"/>
  <c r="H192" i="1"/>
  <c r="H196" i="1"/>
  <c r="H200" i="1"/>
  <c r="H204" i="1"/>
  <c r="H208" i="1"/>
  <c r="H212" i="1"/>
  <c r="H216" i="1"/>
  <c r="H220" i="1"/>
  <c r="H224" i="1"/>
  <c r="H228" i="1"/>
  <c r="H232" i="1"/>
  <c r="H236" i="1"/>
  <c r="H240" i="1"/>
  <c r="H244" i="1"/>
  <c r="H248" i="1"/>
  <c r="H252" i="1"/>
  <c r="H256" i="1"/>
  <c r="H260" i="1"/>
  <c r="H264" i="1"/>
  <c r="H268" i="1"/>
  <c r="H272" i="1"/>
  <c r="H276" i="1"/>
  <c r="H280" i="1"/>
  <c r="H284" i="1"/>
  <c r="H288" i="1"/>
  <c r="H292" i="1"/>
  <c r="H296" i="1"/>
  <c r="H300" i="1"/>
  <c r="H304" i="1"/>
  <c r="H308" i="1"/>
  <c r="H312" i="1"/>
  <c r="H316" i="1"/>
  <c r="H320" i="1"/>
  <c r="H324" i="1"/>
  <c r="H328" i="1"/>
  <c r="H332" i="1"/>
  <c r="H336" i="1"/>
  <c r="H340" i="1"/>
  <c r="H344" i="1"/>
  <c r="H348" i="1"/>
  <c r="H352" i="1"/>
  <c r="H356" i="1"/>
  <c r="H360" i="1"/>
  <c r="H364" i="1"/>
  <c r="H368" i="1"/>
  <c r="H372" i="1"/>
  <c r="H293" i="1"/>
  <c r="H309" i="1"/>
  <c r="H317" i="1"/>
  <c r="H325" i="1"/>
  <c r="H333" i="1"/>
  <c r="H341" i="1"/>
  <c r="H349" i="1"/>
  <c r="H357" i="1"/>
  <c r="H365" i="1"/>
  <c r="H373" i="1"/>
  <c r="H294" i="1"/>
  <c r="H306" i="1"/>
  <c r="H314" i="1"/>
  <c r="H330" i="1"/>
  <c r="H346" i="1"/>
  <c r="H358" i="1"/>
  <c r="H8" i="1"/>
  <c r="I358" i="1" l="1"/>
  <c r="J358" i="1" s="1"/>
  <c r="I346" i="1"/>
  <c r="J346" i="1" s="1"/>
  <c r="I330" i="1"/>
  <c r="J330" i="1" s="1"/>
  <c r="I314" i="1"/>
  <c r="J314" i="1" s="1"/>
  <c r="I306" i="1"/>
  <c r="J306" i="1" s="1"/>
  <c r="I294" i="1"/>
  <c r="J294" i="1" s="1"/>
  <c r="I373" i="1"/>
  <c r="J373" i="1" s="1"/>
  <c r="I365" i="1"/>
  <c r="J365" i="1" s="1"/>
  <c r="I357" i="1"/>
  <c r="J357" i="1" s="1"/>
  <c r="I349" i="1"/>
  <c r="J349" i="1" s="1"/>
  <c r="I341" i="1"/>
  <c r="J341" i="1" s="1"/>
  <c r="I333" i="1"/>
  <c r="J333" i="1" s="1"/>
  <c r="I325" i="1"/>
  <c r="J325" i="1" s="1"/>
  <c r="I317" i="1"/>
  <c r="J317" i="1" s="1"/>
  <c r="I309" i="1"/>
  <c r="J309" i="1" s="1"/>
  <c r="I293" i="1"/>
  <c r="J293" i="1" s="1"/>
  <c r="I372" i="1"/>
  <c r="J372" i="1" s="1"/>
  <c r="I368" i="1"/>
  <c r="J368" i="1" s="1"/>
  <c r="I364" i="1"/>
  <c r="J364" i="1" s="1"/>
  <c r="I360" i="1"/>
  <c r="J360" i="1" s="1"/>
  <c r="I356" i="1"/>
  <c r="J356" i="1" s="1"/>
  <c r="I352" i="1"/>
  <c r="J352" i="1" s="1"/>
  <c r="I348" i="1"/>
  <c r="J348" i="1" s="1"/>
  <c r="I344" i="1"/>
  <c r="J344" i="1" s="1"/>
  <c r="I340" i="1"/>
  <c r="J340" i="1" s="1"/>
  <c r="I336" i="1"/>
  <c r="J336" i="1" s="1"/>
  <c r="I332" i="1"/>
  <c r="J332" i="1" s="1"/>
  <c r="I328" i="1"/>
  <c r="J328" i="1" s="1"/>
  <c r="I324" i="1"/>
  <c r="J324" i="1" s="1"/>
  <c r="I320" i="1"/>
  <c r="J320" i="1" s="1"/>
  <c r="I316" i="1"/>
  <c r="J316" i="1" s="1"/>
  <c r="I312" i="1"/>
  <c r="J312" i="1" s="1"/>
  <c r="I308" i="1"/>
  <c r="J308" i="1" s="1"/>
  <c r="I304" i="1"/>
  <c r="J304" i="1" s="1"/>
  <c r="I300" i="1"/>
  <c r="J300" i="1" s="1"/>
  <c r="I296" i="1"/>
  <c r="J296" i="1" s="1"/>
  <c r="I292" i="1"/>
  <c r="J292" i="1" s="1"/>
  <c r="I288" i="1"/>
  <c r="J288" i="1" s="1"/>
  <c r="I284" i="1"/>
  <c r="J284" i="1" s="1"/>
  <c r="I280" i="1"/>
  <c r="J280" i="1" s="1"/>
  <c r="I276" i="1"/>
  <c r="J276" i="1" s="1"/>
  <c r="I272" i="1"/>
  <c r="J272" i="1" s="1"/>
  <c r="I268" i="1"/>
  <c r="J268" i="1" s="1"/>
  <c r="I264" i="1"/>
  <c r="J264" i="1" s="1"/>
  <c r="I260" i="1"/>
  <c r="J260" i="1" s="1"/>
  <c r="I256" i="1"/>
  <c r="J256" i="1" s="1"/>
  <c r="I252" i="1"/>
  <c r="J252" i="1" s="1"/>
  <c r="I248" i="1"/>
  <c r="J248" i="1" s="1"/>
  <c r="I244" i="1"/>
  <c r="J244" i="1" s="1"/>
  <c r="I240" i="1"/>
  <c r="J240" i="1" s="1"/>
  <c r="I236" i="1"/>
  <c r="J236" i="1" s="1"/>
  <c r="I232" i="1"/>
  <c r="J232" i="1" s="1"/>
  <c r="I228" i="1"/>
  <c r="J228" i="1" s="1"/>
  <c r="I224" i="1"/>
  <c r="J224" i="1" s="1"/>
  <c r="I220" i="1"/>
  <c r="J220" i="1" s="1"/>
  <c r="I216" i="1"/>
  <c r="J216" i="1" s="1"/>
  <c r="I212" i="1"/>
  <c r="J212" i="1" s="1"/>
  <c r="I208" i="1"/>
  <c r="J208" i="1" s="1"/>
  <c r="I204" i="1"/>
  <c r="J204" i="1" s="1"/>
  <c r="I200" i="1"/>
  <c r="J200" i="1" s="1"/>
  <c r="I196" i="1"/>
  <c r="J196" i="1" s="1"/>
  <c r="I192" i="1"/>
  <c r="J192" i="1" s="1"/>
  <c r="I188" i="1"/>
  <c r="J188" i="1" s="1"/>
  <c r="I184" i="1"/>
  <c r="J184" i="1" s="1"/>
  <c r="I180" i="1"/>
  <c r="J180" i="1" s="1"/>
  <c r="I176" i="1"/>
  <c r="J176" i="1" s="1"/>
  <c r="I172" i="1"/>
  <c r="J172" i="1" s="1"/>
  <c r="I168" i="1"/>
  <c r="J168" i="1" s="1"/>
  <c r="I164" i="1"/>
  <c r="J164" i="1" s="1"/>
  <c r="I160" i="1"/>
  <c r="J160" i="1" s="1"/>
  <c r="I156" i="1"/>
  <c r="J156" i="1" s="1"/>
  <c r="I152" i="1"/>
  <c r="J152" i="1" s="1"/>
  <c r="I148" i="1"/>
  <c r="J148" i="1" s="1"/>
  <c r="I144" i="1"/>
  <c r="J144" i="1" s="1"/>
  <c r="I140" i="1"/>
  <c r="J140" i="1" s="1"/>
  <c r="I136" i="1"/>
  <c r="J136" i="1" s="1"/>
  <c r="I132" i="1"/>
  <c r="J132" i="1" s="1"/>
  <c r="I128" i="1"/>
  <c r="J128" i="1" s="1"/>
  <c r="I124" i="1"/>
  <c r="J124" i="1" s="1"/>
  <c r="I120" i="1"/>
  <c r="J120" i="1" s="1"/>
  <c r="I116" i="1"/>
  <c r="J116" i="1" s="1"/>
  <c r="I112" i="1"/>
  <c r="J112" i="1" s="1"/>
  <c r="I108" i="1"/>
  <c r="J108" i="1" s="1"/>
  <c r="I104" i="1"/>
  <c r="J104" i="1" s="1"/>
  <c r="I100" i="1"/>
  <c r="J100" i="1" s="1"/>
  <c r="I96" i="1"/>
  <c r="J96" i="1" s="1"/>
  <c r="I92" i="1"/>
  <c r="J92" i="1" s="1"/>
  <c r="I88" i="1"/>
  <c r="J88" i="1" s="1"/>
  <c r="I84" i="1"/>
  <c r="J84" i="1" s="1"/>
  <c r="I80" i="1"/>
  <c r="J80" i="1" s="1"/>
  <c r="I76" i="1"/>
  <c r="J76" i="1" s="1"/>
  <c r="I72" i="1"/>
  <c r="J72" i="1" s="1"/>
  <c r="I68" i="1"/>
  <c r="J68" i="1" s="1"/>
  <c r="I64" i="1"/>
  <c r="J64" i="1" s="1"/>
  <c r="I60" i="1"/>
  <c r="J60" i="1" s="1"/>
  <c r="I56" i="1"/>
  <c r="J56" i="1" s="1"/>
  <c r="I52" i="1"/>
  <c r="J52" i="1" s="1"/>
  <c r="I48" i="1"/>
  <c r="J48" i="1" s="1"/>
  <c r="I44" i="1"/>
  <c r="J44" i="1" s="1"/>
  <c r="I40" i="1"/>
  <c r="J40" i="1" s="1"/>
  <c r="I36" i="1"/>
  <c r="J36" i="1" s="1"/>
  <c r="I32" i="1"/>
  <c r="J32" i="1" s="1"/>
  <c r="I28" i="1"/>
  <c r="J28" i="1" s="1"/>
  <c r="I24" i="1"/>
  <c r="J24" i="1" s="1"/>
  <c r="I20" i="1"/>
  <c r="J20" i="1" s="1"/>
  <c r="I16" i="1"/>
  <c r="J16" i="1" s="1"/>
  <c r="I12" i="1"/>
  <c r="J12" i="1" s="1"/>
  <c r="I366" i="1"/>
  <c r="J366" i="1" s="1"/>
  <c r="I350" i="1"/>
  <c r="J350" i="1" s="1"/>
  <c r="I334" i="1"/>
  <c r="J334" i="1" s="1"/>
  <c r="I318" i="1"/>
  <c r="J318" i="1" s="1"/>
  <c r="I290" i="1"/>
  <c r="J290" i="1" s="1"/>
  <c r="I371" i="1"/>
  <c r="J371" i="1" s="1"/>
  <c r="I367" i="1"/>
  <c r="J367" i="1" s="1"/>
  <c r="I363" i="1"/>
  <c r="J363" i="1" s="1"/>
  <c r="I359" i="1"/>
  <c r="J359" i="1" s="1"/>
  <c r="I355" i="1"/>
  <c r="J355" i="1" s="1"/>
  <c r="I351" i="1"/>
  <c r="J351" i="1" s="1"/>
  <c r="I347" i="1"/>
  <c r="J347" i="1" s="1"/>
  <c r="I343" i="1"/>
  <c r="J343" i="1" s="1"/>
  <c r="I339" i="1"/>
  <c r="J339" i="1" s="1"/>
  <c r="I335" i="1"/>
  <c r="J335" i="1" s="1"/>
  <c r="I331" i="1"/>
  <c r="J331" i="1" s="1"/>
  <c r="I327" i="1"/>
  <c r="J327" i="1" s="1"/>
  <c r="I323" i="1"/>
  <c r="J323" i="1" s="1"/>
  <c r="I319" i="1"/>
  <c r="J319" i="1" s="1"/>
  <c r="I315" i="1"/>
  <c r="J315" i="1" s="1"/>
  <c r="I311" i="1"/>
  <c r="J311" i="1" s="1"/>
  <c r="I307" i="1"/>
  <c r="J307" i="1" s="1"/>
  <c r="I303" i="1"/>
  <c r="J303" i="1" s="1"/>
  <c r="I299" i="1"/>
  <c r="J299" i="1" s="1"/>
  <c r="I295" i="1"/>
  <c r="J295" i="1" s="1"/>
  <c r="I291" i="1"/>
  <c r="J291" i="1" s="1"/>
  <c r="I287" i="1"/>
  <c r="J287" i="1" s="1"/>
  <c r="I283" i="1"/>
  <c r="J283" i="1" s="1"/>
  <c r="I279" i="1"/>
  <c r="J279" i="1" s="1"/>
  <c r="I275" i="1"/>
  <c r="J275" i="1" s="1"/>
  <c r="I271" i="1"/>
  <c r="J271" i="1" s="1"/>
  <c r="I267" i="1"/>
  <c r="J267" i="1" s="1"/>
  <c r="I263" i="1"/>
  <c r="J263" i="1" s="1"/>
  <c r="I259" i="1"/>
  <c r="J259" i="1" s="1"/>
  <c r="I255" i="1"/>
  <c r="J255" i="1" s="1"/>
  <c r="I251" i="1"/>
  <c r="J251" i="1" s="1"/>
  <c r="I247" i="1"/>
  <c r="J247" i="1" s="1"/>
  <c r="I243" i="1"/>
  <c r="J243" i="1" s="1"/>
  <c r="I239" i="1"/>
  <c r="J239" i="1" s="1"/>
  <c r="I235" i="1"/>
  <c r="J235" i="1" s="1"/>
  <c r="I231" i="1"/>
  <c r="J231" i="1" s="1"/>
  <c r="I227" i="1"/>
  <c r="J227" i="1" s="1"/>
  <c r="I223" i="1"/>
  <c r="J223" i="1" s="1"/>
  <c r="I219" i="1"/>
  <c r="J219" i="1" s="1"/>
  <c r="I215" i="1"/>
  <c r="J215" i="1" s="1"/>
  <c r="I211" i="1"/>
  <c r="J211" i="1" s="1"/>
  <c r="I207" i="1"/>
  <c r="J207" i="1" s="1"/>
  <c r="I203" i="1"/>
  <c r="J203" i="1" s="1"/>
  <c r="I199" i="1"/>
  <c r="J199" i="1" s="1"/>
  <c r="I195" i="1"/>
  <c r="J195" i="1" s="1"/>
  <c r="I191" i="1"/>
  <c r="J191" i="1" s="1"/>
  <c r="I187" i="1"/>
  <c r="J187" i="1" s="1"/>
  <c r="I183" i="1"/>
  <c r="J183" i="1" s="1"/>
  <c r="I179" i="1"/>
  <c r="J179" i="1" s="1"/>
  <c r="I175" i="1"/>
  <c r="J175" i="1" s="1"/>
  <c r="I171" i="1"/>
  <c r="J171" i="1" s="1"/>
  <c r="I167" i="1"/>
  <c r="J167" i="1" s="1"/>
  <c r="I163" i="1"/>
  <c r="J163" i="1" s="1"/>
  <c r="I159" i="1"/>
  <c r="J159" i="1" s="1"/>
  <c r="I155" i="1"/>
  <c r="J155" i="1" s="1"/>
  <c r="I151" i="1"/>
  <c r="J151" i="1" s="1"/>
  <c r="I147" i="1"/>
  <c r="J147" i="1" s="1"/>
  <c r="I143" i="1"/>
  <c r="J143" i="1" s="1"/>
  <c r="I139" i="1"/>
  <c r="J139" i="1" s="1"/>
  <c r="I135" i="1"/>
  <c r="J135" i="1" s="1"/>
  <c r="I131" i="1"/>
  <c r="J131" i="1" s="1"/>
  <c r="I127" i="1"/>
  <c r="J127" i="1" s="1"/>
  <c r="I123" i="1"/>
  <c r="J123" i="1" s="1"/>
  <c r="I119" i="1"/>
  <c r="J119" i="1" s="1"/>
  <c r="I115" i="1"/>
  <c r="J115" i="1" s="1"/>
  <c r="I111" i="1"/>
  <c r="J111" i="1" s="1"/>
  <c r="I107" i="1"/>
  <c r="J107" i="1" s="1"/>
  <c r="I103" i="1"/>
  <c r="J103" i="1" s="1"/>
  <c r="I99" i="1"/>
  <c r="J99" i="1" s="1"/>
  <c r="I95" i="1"/>
  <c r="J95" i="1" s="1"/>
  <c r="I91" i="1"/>
  <c r="J91" i="1" s="1"/>
  <c r="I87" i="1"/>
  <c r="J87" i="1" s="1"/>
  <c r="I83" i="1"/>
  <c r="J83" i="1" s="1"/>
  <c r="I79" i="1"/>
  <c r="J79" i="1" s="1"/>
  <c r="I75" i="1"/>
  <c r="J75" i="1" s="1"/>
  <c r="I71" i="1"/>
  <c r="J71" i="1" s="1"/>
  <c r="I67" i="1"/>
  <c r="J67" i="1" s="1"/>
  <c r="I63" i="1"/>
  <c r="J63" i="1" s="1"/>
  <c r="I59" i="1"/>
  <c r="J59" i="1" s="1"/>
  <c r="I55" i="1"/>
  <c r="J55" i="1" s="1"/>
  <c r="I51" i="1"/>
  <c r="J51" i="1" s="1"/>
  <c r="I47" i="1"/>
  <c r="J47" i="1" s="1"/>
  <c r="I43" i="1"/>
  <c r="J43" i="1" s="1"/>
  <c r="I39" i="1"/>
  <c r="J39" i="1" s="1"/>
  <c r="I35" i="1"/>
  <c r="J35" i="1" s="1"/>
  <c r="I31" i="1"/>
  <c r="J31" i="1" s="1"/>
  <c r="I27" i="1"/>
  <c r="J27" i="1" s="1"/>
  <c r="I23" i="1"/>
  <c r="J23" i="1" s="1"/>
  <c r="I19" i="1"/>
  <c r="J19" i="1" s="1"/>
  <c r="I15" i="1"/>
  <c r="J15" i="1" s="1"/>
  <c r="I11" i="1"/>
  <c r="J11" i="1" s="1"/>
  <c r="I362" i="1"/>
  <c r="J362" i="1" s="1"/>
  <c r="I342" i="1"/>
  <c r="J342" i="1" s="1"/>
  <c r="I322" i="1"/>
  <c r="J322" i="1" s="1"/>
  <c r="I302" i="1"/>
  <c r="J302" i="1" s="1"/>
  <c r="I298" i="1"/>
  <c r="J298" i="1" s="1"/>
  <c r="I282" i="1"/>
  <c r="J282" i="1" s="1"/>
  <c r="I278" i="1"/>
  <c r="J278" i="1" s="1"/>
  <c r="I274" i="1"/>
  <c r="J274" i="1" s="1"/>
  <c r="I270" i="1"/>
  <c r="J270" i="1" s="1"/>
  <c r="I266" i="1"/>
  <c r="J266" i="1" s="1"/>
  <c r="I262" i="1"/>
  <c r="J262" i="1" s="1"/>
  <c r="I258" i="1"/>
  <c r="J258" i="1" s="1"/>
  <c r="I254" i="1"/>
  <c r="J254" i="1" s="1"/>
  <c r="I250" i="1"/>
  <c r="J250" i="1" s="1"/>
  <c r="I246" i="1"/>
  <c r="J246" i="1" s="1"/>
  <c r="I242" i="1"/>
  <c r="J242" i="1" s="1"/>
  <c r="I238" i="1"/>
  <c r="J238" i="1" s="1"/>
  <c r="I234" i="1"/>
  <c r="J234" i="1" s="1"/>
  <c r="I230" i="1"/>
  <c r="J230" i="1" s="1"/>
  <c r="I226" i="1"/>
  <c r="J226" i="1" s="1"/>
  <c r="I222" i="1"/>
  <c r="J222" i="1" s="1"/>
  <c r="I218" i="1"/>
  <c r="J218" i="1" s="1"/>
  <c r="I214" i="1"/>
  <c r="J214" i="1" s="1"/>
  <c r="I210" i="1"/>
  <c r="J210" i="1" s="1"/>
  <c r="I206" i="1"/>
  <c r="J206" i="1" s="1"/>
  <c r="I202" i="1"/>
  <c r="J202" i="1" s="1"/>
  <c r="I198" i="1"/>
  <c r="J198" i="1" s="1"/>
  <c r="I194" i="1"/>
  <c r="J194" i="1" s="1"/>
  <c r="I190" i="1"/>
  <c r="J190" i="1" s="1"/>
  <c r="I186" i="1"/>
  <c r="J186" i="1" s="1"/>
  <c r="I182" i="1"/>
  <c r="J182" i="1" s="1"/>
  <c r="I178" i="1"/>
  <c r="J178" i="1" s="1"/>
  <c r="I174" i="1"/>
  <c r="J174" i="1" s="1"/>
  <c r="I170" i="1"/>
  <c r="J170" i="1" s="1"/>
  <c r="I166" i="1"/>
  <c r="J166" i="1" s="1"/>
  <c r="I162" i="1"/>
  <c r="J162" i="1" s="1"/>
  <c r="I158" i="1"/>
  <c r="J158" i="1" s="1"/>
  <c r="I154" i="1"/>
  <c r="J154" i="1" s="1"/>
  <c r="I150" i="1"/>
  <c r="J150" i="1" s="1"/>
  <c r="I146" i="1"/>
  <c r="J146" i="1" s="1"/>
  <c r="I142" i="1"/>
  <c r="J142" i="1" s="1"/>
  <c r="I138" i="1"/>
  <c r="J138" i="1" s="1"/>
  <c r="I134" i="1"/>
  <c r="J134" i="1" s="1"/>
  <c r="I130" i="1"/>
  <c r="J130" i="1" s="1"/>
  <c r="I126" i="1"/>
  <c r="J126" i="1" s="1"/>
  <c r="I122" i="1"/>
  <c r="J122" i="1" s="1"/>
  <c r="I118" i="1"/>
  <c r="J118" i="1" s="1"/>
  <c r="I114" i="1"/>
  <c r="J114" i="1" s="1"/>
  <c r="I110" i="1"/>
  <c r="J110" i="1" s="1"/>
  <c r="I106" i="1"/>
  <c r="J106" i="1" s="1"/>
  <c r="I102" i="1"/>
  <c r="J102" i="1" s="1"/>
  <c r="I98" i="1"/>
  <c r="J98" i="1" s="1"/>
  <c r="I94" i="1"/>
  <c r="J94" i="1" s="1"/>
  <c r="I90" i="1"/>
  <c r="J90" i="1" s="1"/>
  <c r="I86" i="1"/>
  <c r="J86" i="1" s="1"/>
  <c r="I82" i="1"/>
  <c r="J82" i="1" s="1"/>
  <c r="I78" i="1"/>
  <c r="J78" i="1" s="1"/>
  <c r="I74" i="1"/>
  <c r="J74" i="1" s="1"/>
  <c r="I70" i="1"/>
  <c r="J70" i="1" s="1"/>
  <c r="I66" i="1"/>
  <c r="J66" i="1" s="1"/>
  <c r="I62" i="1"/>
  <c r="J62" i="1" s="1"/>
  <c r="I58" i="1"/>
  <c r="J58" i="1" s="1"/>
  <c r="I54" i="1"/>
  <c r="J54" i="1" s="1"/>
  <c r="I50" i="1"/>
  <c r="J50" i="1" s="1"/>
  <c r="I46" i="1"/>
  <c r="J46" i="1" s="1"/>
  <c r="I42" i="1"/>
  <c r="J42" i="1" s="1"/>
  <c r="I38" i="1"/>
  <c r="J38" i="1" s="1"/>
  <c r="I34" i="1"/>
  <c r="J34" i="1" s="1"/>
  <c r="I30" i="1"/>
  <c r="J30" i="1" s="1"/>
  <c r="I26" i="1"/>
  <c r="J26" i="1" s="1"/>
  <c r="I22" i="1"/>
  <c r="J22" i="1" s="1"/>
  <c r="I18" i="1"/>
  <c r="J18" i="1" s="1"/>
  <c r="I14" i="1"/>
  <c r="J14" i="1" s="1"/>
  <c r="I10" i="1"/>
  <c r="J10" i="1" s="1"/>
  <c r="I370" i="1"/>
  <c r="J370" i="1" s="1"/>
  <c r="I354" i="1"/>
  <c r="J354" i="1" s="1"/>
  <c r="I338" i="1"/>
  <c r="J338" i="1" s="1"/>
  <c r="I326" i="1"/>
  <c r="J326" i="1" s="1"/>
  <c r="I310" i="1"/>
  <c r="J310" i="1" s="1"/>
  <c r="I286" i="1"/>
  <c r="J286" i="1" s="1"/>
  <c r="I369" i="1"/>
  <c r="J369" i="1" s="1"/>
  <c r="I361" i="1"/>
  <c r="J361" i="1" s="1"/>
  <c r="I353" i="1"/>
  <c r="J353" i="1" s="1"/>
  <c r="I345" i="1"/>
  <c r="J345" i="1" s="1"/>
  <c r="I337" i="1"/>
  <c r="J337" i="1" s="1"/>
  <c r="I329" i="1"/>
  <c r="J329" i="1" s="1"/>
  <c r="I321" i="1"/>
  <c r="J321" i="1" s="1"/>
  <c r="I313" i="1"/>
  <c r="J313" i="1" s="1"/>
  <c r="I305" i="1"/>
  <c r="J305" i="1" s="1"/>
  <c r="I301" i="1"/>
  <c r="J301" i="1" s="1"/>
  <c r="I297" i="1"/>
  <c r="J297" i="1" s="1"/>
  <c r="I289" i="1"/>
  <c r="J289" i="1" s="1"/>
  <c r="I285" i="1"/>
  <c r="J285" i="1" s="1"/>
  <c r="I281" i="1"/>
  <c r="J281" i="1" s="1"/>
  <c r="I277" i="1"/>
  <c r="J277" i="1" s="1"/>
  <c r="I273" i="1"/>
  <c r="J273" i="1" s="1"/>
  <c r="I269" i="1"/>
  <c r="J269" i="1" s="1"/>
  <c r="I265" i="1"/>
  <c r="J265" i="1" s="1"/>
  <c r="I261" i="1"/>
  <c r="J261" i="1" s="1"/>
  <c r="I257" i="1"/>
  <c r="J257" i="1" s="1"/>
  <c r="I253" i="1"/>
  <c r="J253" i="1" s="1"/>
  <c r="I249" i="1"/>
  <c r="J249" i="1" s="1"/>
  <c r="I245" i="1"/>
  <c r="J245" i="1" s="1"/>
  <c r="I241" i="1"/>
  <c r="J241" i="1" s="1"/>
  <c r="I237" i="1"/>
  <c r="J237" i="1" s="1"/>
  <c r="I233" i="1"/>
  <c r="J233" i="1" s="1"/>
  <c r="I229" i="1"/>
  <c r="J229" i="1" s="1"/>
  <c r="I225" i="1"/>
  <c r="J225" i="1" s="1"/>
  <c r="I221" i="1"/>
  <c r="J221" i="1" s="1"/>
  <c r="I217" i="1"/>
  <c r="J217" i="1" s="1"/>
  <c r="I213" i="1"/>
  <c r="J213" i="1" s="1"/>
  <c r="I209" i="1"/>
  <c r="J209" i="1" s="1"/>
  <c r="I205" i="1"/>
  <c r="J205" i="1" s="1"/>
  <c r="I201" i="1"/>
  <c r="J201" i="1" s="1"/>
  <c r="I197" i="1"/>
  <c r="J197" i="1" s="1"/>
  <c r="I193" i="1"/>
  <c r="J193" i="1" s="1"/>
  <c r="I189" i="1"/>
  <c r="J189" i="1" s="1"/>
  <c r="I185" i="1"/>
  <c r="J185" i="1" s="1"/>
  <c r="I181" i="1"/>
  <c r="J181" i="1" s="1"/>
  <c r="I177" i="1"/>
  <c r="J177" i="1" s="1"/>
  <c r="I173" i="1"/>
  <c r="J173" i="1" s="1"/>
  <c r="I169" i="1"/>
  <c r="J169" i="1" s="1"/>
  <c r="I165" i="1"/>
  <c r="J165" i="1" s="1"/>
  <c r="I161" i="1"/>
  <c r="J161" i="1" s="1"/>
  <c r="I157" i="1"/>
  <c r="J157" i="1" s="1"/>
  <c r="I153" i="1"/>
  <c r="J153" i="1" s="1"/>
  <c r="I149" i="1"/>
  <c r="J149" i="1" s="1"/>
  <c r="I145" i="1"/>
  <c r="J145" i="1" s="1"/>
  <c r="I141" i="1"/>
  <c r="J141" i="1" s="1"/>
  <c r="I137" i="1"/>
  <c r="J137" i="1" s="1"/>
  <c r="I133" i="1"/>
  <c r="J133" i="1" s="1"/>
  <c r="I129" i="1"/>
  <c r="J129" i="1" s="1"/>
  <c r="I125" i="1"/>
  <c r="J125" i="1" s="1"/>
  <c r="I121" i="1"/>
  <c r="J121" i="1" s="1"/>
  <c r="I117" i="1"/>
  <c r="J117" i="1" s="1"/>
  <c r="I113" i="1"/>
  <c r="J113" i="1" s="1"/>
  <c r="I109" i="1"/>
  <c r="J109" i="1" s="1"/>
  <c r="I105" i="1"/>
  <c r="J105" i="1" s="1"/>
  <c r="I101" i="1"/>
  <c r="J101" i="1" s="1"/>
  <c r="I97" i="1"/>
  <c r="J97" i="1" s="1"/>
  <c r="I93" i="1"/>
  <c r="J93" i="1" s="1"/>
  <c r="I89" i="1"/>
  <c r="J89" i="1" s="1"/>
  <c r="I85" i="1"/>
  <c r="J85" i="1" s="1"/>
  <c r="I81" i="1"/>
  <c r="J81" i="1" s="1"/>
  <c r="I77" i="1"/>
  <c r="J77" i="1" s="1"/>
  <c r="I73" i="1"/>
  <c r="J73" i="1" s="1"/>
  <c r="I69" i="1"/>
  <c r="J69" i="1" s="1"/>
  <c r="I65" i="1"/>
  <c r="J65" i="1" s="1"/>
  <c r="I61" i="1"/>
  <c r="J61" i="1" s="1"/>
  <c r="I57" i="1"/>
  <c r="J57" i="1" s="1"/>
  <c r="I53" i="1"/>
  <c r="J53" i="1" s="1"/>
  <c r="I49" i="1"/>
  <c r="J49" i="1" s="1"/>
  <c r="I45" i="1"/>
  <c r="J45" i="1" s="1"/>
  <c r="I41" i="1"/>
  <c r="J41" i="1" s="1"/>
  <c r="I37" i="1"/>
  <c r="J37" i="1" s="1"/>
  <c r="I33" i="1"/>
  <c r="J33" i="1" s="1"/>
  <c r="I29" i="1"/>
  <c r="J29" i="1" s="1"/>
  <c r="I25" i="1"/>
  <c r="J25" i="1" s="1"/>
  <c r="I21" i="1"/>
  <c r="J21" i="1" s="1"/>
  <c r="I17" i="1"/>
  <c r="J17" i="1" s="1"/>
  <c r="I13" i="1"/>
  <c r="J13" i="1" s="1"/>
  <c r="I9" i="1"/>
  <c r="J9" i="1" s="1"/>
  <c r="I8" i="1"/>
  <c r="J8" i="1" l="1"/>
  <c r="M1" i="1"/>
</calcChain>
</file>

<file path=xl/sharedStrings.xml><?xml version="1.0" encoding="utf-8"?>
<sst xmlns="http://schemas.openxmlformats.org/spreadsheetml/2006/main" count="16" uniqueCount="16">
  <si>
    <t>Date</t>
  </si>
  <si>
    <t>Open</t>
  </si>
  <si>
    <t>High</t>
  </si>
  <si>
    <t>Low</t>
  </si>
  <si>
    <t>Close</t>
  </si>
  <si>
    <t>五日開盤價移動平均</t>
    <phoneticPr fontId="1" type="noConversion"/>
  </si>
  <si>
    <t>內插日報酬</t>
    <phoneticPr fontId="1" type="noConversion"/>
  </si>
  <si>
    <t>損益</t>
    <phoneticPr fontId="1" type="noConversion"/>
  </si>
  <si>
    <t>實際日報酬</t>
    <phoneticPr fontId="1" type="noConversion"/>
  </si>
  <si>
    <t xml:space="preserve">Netting </t>
    <phoneticPr fontId="1" type="noConversion"/>
  </si>
  <si>
    <t>正確機率</t>
    <phoneticPr fontId="1" type="noConversion"/>
  </si>
  <si>
    <t>預測正確</t>
    <phoneticPr fontId="1" type="noConversion"/>
  </si>
  <si>
    <t>使用均線種類</t>
    <phoneticPr fontId="1" type="noConversion"/>
  </si>
  <si>
    <t>weightedMovingAverage</t>
  </si>
  <si>
    <t>使用內插方法</t>
    <phoneticPr fontId="1" type="noConversion"/>
  </si>
  <si>
    <t>linearInterpolation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</si>
</sst>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yyyy\-mm\-dd"/>
  </numFmts>
  <fonts count="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微軟正黑體"/>
      <family val="3"/>
      <charset val="136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2" fillId="0" borderId="0" xfId="0" applyNumberFormat="1" applyFont="1" applyFill="1" applyBorder="1" applyAlignment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Border="1" applyAlignment="1" applyProtection="1">
      <protection locked="0"/>
    </xf>
    <xf numFmtId="0" fontId="0" fillId="2" borderId="0" xfId="0" applyFill="1">
      <alignment vertical="center"/>
    </xf>
    <xf numFmtId="0" fontId="0" fillId="0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M373"/>
  <sheetViews>
    <sheetView tabSelected="1" topLeftCell="H369" workbookViewId="0">
      <selection activeCell="M380" sqref="M380"/>
    </sheetView>
  </sheetViews>
  <sheetFormatPr defaultRowHeight="16.5" x14ac:dyDescent="0.25"/>
  <cols>
    <col min="1" max="1" width="16.625" style="4" customWidth="1"/>
    <col min="2" max="4" width="10.75" style="4"/>
    <col min="5" max="5" width="12.625" style="4" customWidth="1"/>
    <col min="6" max="6" width="21.875" customWidth="1"/>
    <col min="7" max="7" width="20" customWidth="1"/>
    <col min="8" max="8" width="24" customWidth="1"/>
    <col min="9" max="9" width="13.25" customWidth="1"/>
    <col min="10" max="10" width="11.5" customWidth="1"/>
    <col min="11" max="11" width="11.125" customWidth="1"/>
    <col min="12" max="12" width="14" customWidth="1"/>
    <col min="13" max="13" width="22.375" customWidth="1"/>
  </cols>
  <sheetData>
    <row r="1" spans="1:13" x14ac:dyDescent="0.25">
      <c r="A1" s="2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1" t="s">
        <v>5</v>
      </c>
      <c r="G1" s="3" t="s">
        <v>8</v>
      </c>
      <c r="H1" s="3" t="s">
        <v>6</v>
      </c>
      <c r="I1" s="3" t="s">
        <v>7</v>
      </c>
      <c r="J1" s="3" t="s">
        <v>11</v>
      </c>
      <c r="L1" s="3" t="s">
        <v>9</v>
      </c>
      <c r="M1">
        <f>SUM(I:I)</f>
        <v>3.4400239999999371</v>
      </c>
    </row>
    <row r="2" spans="1:13" x14ac:dyDescent="0.25">
      <c r="A2" s="2">
        <v>42006</v>
      </c>
      <c r="B2" s="3">
        <v>111.389999</v>
      </c>
      <c r="C2" s="3">
        <v>111.44000200000001</v>
      </c>
      <c r="D2" s="3">
        <v>107.349998</v>
      </c>
      <c r="E2" s="3">
        <v>109.33000199999999</v>
      </c>
      <c r="L2" t="s">
        <v>10</v>
      </c>
      <c r="M2">
        <f>SUM(J:J)/366</f>
        <v>0.49180327868852458</v>
      </c>
    </row>
    <row r="3" spans="1:13" x14ac:dyDescent="0.25">
      <c r="A3" s="2">
        <v>42009</v>
      </c>
      <c r="B3" s="3">
        <v>108.290001</v>
      </c>
      <c r="C3" s="3">
        <v>108.650002</v>
      </c>
      <c r="D3" s="3">
        <v>105.410004</v>
      </c>
      <c r="E3" s="3">
        <v>106.25</v>
      </c>
    </row>
    <row r="4" spans="1:13" x14ac:dyDescent="0.25">
      <c r="A4" s="2">
        <v>42010</v>
      </c>
      <c r="B4" s="3">
        <v>106.540001</v>
      </c>
      <c r="C4" s="3">
        <v>107.43</v>
      </c>
      <c r="D4" s="3">
        <v>104.629997</v>
      </c>
      <c r="E4" s="3">
        <v>106.260002</v>
      </c>
    </row>
    <row r="5" spans="1:13" x14ac:dyDescent="0.25">
      <c r="A5" s="2">
        <v>42011</v>
      </c>
      <c r="B5" s="3">
        <v>107.199997</v>
      </c>
      <c r="C5" s="3">
        <v>108.199997</v>
      </c>
      <c r="D5" s="3">
        <v>106.699997</v>
      </c>
      <c r="E5" s="3">
        <v>107.75</v>
      </c>
    </row>
    <row r="6" spans="1:13" x14ac:dyDescent="0.25">
      <c r="A6" s="2">
        <v>42012</v>
      </c>
      <c r="B6" s="3">
        <v>109.230003</v>
      </c>
      <c r="C6" s="3">
        <v>112.150002</v>
      </c>
      <c r="D6" s="3">
        <v>108.699997</v>
      </c>
      <c r="E6" s="3">
        <v>111.889999</v>
      </c>
      <c r="F6" s="8">
        <f>movingAverage(E2:E6,$M$6)</f>
        <v>108.73733353333334</v>
      </c>
      <c r="G6" s="7">
        <f>E6-B6</f>
        <v>2.6599960000000067</v>
      </c>
      <c r="L6" t="s">
        <v>12</v>
      </c>
      <c r="M6" t="s">
        <v>13</v>
      </c>
    </row>
    <row r="7" spans="1:13" x14ac:dyDescent="0.25">
      <c r="A7" s="2">
        <v>42013</v>
      </c>
      <c r="B7" s="3">
        <v>112.66999800000001</v>
      </c>
      <c r="C7" s="3">
        <v>113.25</v>
      </c>
      <c r="D7" s="3">
        <v>110.209999</v>
      </c>
      <c r="E7" s="3">
        <v>112.010002</v>
      </c>
      <c r="F7" s="8">
        <f t="shared" ref="F7:F70" si="0">movingAverage(B3:B7,$M$6)</f>
        <v>109.54933306666668</v>
      </c>
      <c r="G7" s="7">
        <f t="shared" ref="G7:G70" si="1">E7-B7</f>
        <v>-0.65999600000000669</v>
      </c>
      <c r="H7" s="6"/>
      <c r="L7" t="s">
        <v>14</v>
      </c>
      <c r="M7" t="s">
        <v>15</v>
      </c>
    </row>
    <row r="8" spans="1:13" x14ac:dyDescent="0.25">
      <c r="A8" s="2">
        <v>42016</v>
      </c>
      <c r="B8" s="3">
        <v>112.599998</v>
      </c>
      <c r="C8" s="3">
        <v>112.629997</v>
      </c>
      <c r="D8" s="3">
        <v>108.800003</v>
      </c>
      <c r="E8" s="3">
        <v>109.25</v>
      </c>
      <c r="F8" s="8">
        <f t="shared" si="0"/>
        <v>110.82066573333333</v>
      </c>
      <c r="G8" s="7">
        <f t="shared" si="1"/>
        <v>-3.3499979999999994</v>
      </c>
      <c r="H8" s="5">
        <f>interpolation(F7,$G$7:G7,$F$6:F6,$M$7)</f>
        <v>-0.65999600000000669</v>
      </c>
      <c r="I8">
        <f>IF(H8&gt;=0,E8-B8,B8-E8)</f>
        <v>3.3499979999999994</v>
      </c>
      <c r="J8">
        <f>IF(I8&gt;0,1,0)</f>
        <v>1</v>
      </c>
    </row>
    <row r="9" spans="1:13" x14ac:dyDescent="0.25">
      <c r="A9" s="2">
        <v>42017</v>
      </c>
      <c r="B9" s="3">
        <v>111.43</v>
      </c>
      <c r="C9" s="3">
        <v>112.800003</v>
      </c>
      <c r="D9" s="3">
        <v>108.910004</v>
      </c>
      <c r="E9" s="3">
        <v>110.220001</v>
      </c>
      <c r="F9" s="8">
        <f t="shared" si="0"/>
        <v>111.41466593333334</v>
      </c>
      <c r="G9" s="7">
        <f t="shared" si="1"/>
        <v>-1.2099990000000105</v>
      </c>
      <c r="H9" s="5">
        <f>interpolation(F8,$G$7:G8,$F$6:F7,$M$7)</f>
        <v>-3.3499979999999994</v>
      </c>
      <c r="I9">
        <f>IF(H9&gt;=0,E9-B9,B9-E9)</f>
        <v>1.2099990000000105</v>
      </c>
      <c r="J9">
        <f t="shared" ref="J9:J72" si="2">IF(I9&gt;0,1,0)</f>
        <v>1</v>
      </c>
    </row>
    <row r="10" spans="1:13" x14ac:dyDescent="0.25">
      <c r="A10" s="2">
        <v>42018</v>
      </c>
      <c r="B10" s="3">
        <v>109.040001</v>
      </c>
      <c r="C10" s="3">
        <v>110.489998</v>
      </c>
      <c r="D10" s="3">
        <v>108.5</v>
      </c>
      <c r="E10" s="3">
        <v>109.800003</v>
      </c>
      <c r="F10" s="8">
        <f t="shared" si="0"/>
        <v>110.88599986666668</v>
      </c>
      <c r="G10" s="7">
        <f t="shared" si="1"/>
        <v>0.76000200000000007</v>
      </c>
      <c r="H10" s="5">
        <f>interpolation(F9,$G$7:G9,$F$6:F8,$M$7)</f>
        <v>-1.2099990000000105</v>
      </c>
      <c r="I10">
        <f t="shared" ref="I10:I73" si="3">IF(H10&gt;=0,E10-B10,B10-E10)</f>
        <v>-0.76000200000000007</v>
      </c>
      <c r="J10">
        <f t="shared" si="2"/>
        <v>0</v>
      </c>
    </row>
    <row r="11" spans="1:13" x14ac:dyDescent="0.25">
      <c r="A11" s="2">
        <v>42019</v>
      </c>
      <c r="B11" s="3">
        <v>110</v>
      </c>
      <c r="C11" s="3">
        <v>110.05999799999999</v>
      </c>
      <c r="D11" s="3">
        <v>106.660004</v>
      </c>
      <c r="E11" s="3">
        <v>106.82</v>
      </c>
      <c r="F11" s="8">
        <f t="shared" si="0"/>
        <v>110.55466653333335</v>
      </c>
      <c r="G11" s="7">
        <f t="shared" si="1"/>
        <v>-3.1800000000000068</v>
      </c>
      <c r="H11" s="5">
        <f>interpolation(F10,$G$7:G10,$F$6:F9,$M$7)</f>
        <v>-0.99331841975637736</v>
      </c>
      <c r="I11">
        <f t="shared" si="3"/>
        <v>3.1800000000000068</v>
      </c>
      <c r="J11">
        <f t="shared" si="2"/>
        <v>1</v>
      </c>
    </row>
    <row r="12" spans="1:13" x14ac:dyDescent="0.25">
      <c r="A12" s="2">
        <v>42020</v>
      </c>
      <c r="B12" s="3">
        <v>107.029999</v>
      </c>
      <c r="C12" s="3">
        <v>107.58000199999999</v>
      </c>
      <c r="D12" s="3">
        <v>105.199997</v>
      </c>
      <c r="E12" s="3">
        <v>105.989998</v>
      </c>
      <c r="F12" s="8">
        <f t="shared" si="0"/>
        <v>109.18199973333334</v>
      </c>
      <c r="G12" s="7">
        <f t="shared" si="1"/>
        <v>-1.0400010000000037</v>
      </c>
      <c r="H12" s="5">
        <f>interpolation(F11,$G$7:G11,$F$6:F10,$M$7)</f>
        <v>-1.6577480722340008</v>
      </c>
      <c r="I12">
        <f t="shared" si="3"/>
        <v>1.0400010000000037</v>
      </c>
      <c r="J12">
        <f t="shared" si="2"/>
        <v>1</v>
      </c>
    </row>
    <row r="13" spans="1:13" x14ac:dyDescent="0.25">
      <c r="A13" s="2">
        <v>42024</v>
      </c>
      <c r="B13" s="3">
        <v>107.839996</v>
      </c>
      <c r="C13" s="3">
        <v>108.970001</v>
      </c>
      <c r="D13" s="3">
        <v>106.5</v>
      </c>
      <c r="E13" s="3">
        <v>108.720001</v>
      </c>
      <c r="F13" s="8">
        <f t="shared" si="0"/>
        <v>108.45533186666665</v>
      </c>
      <c r="G13" s="7">
        <f t="shared" si="1"/>
        <v>0.88000499999999704</v>
      </c>
      <c r="H13" s="5">
        <f>interpolation(F12,$G$7:G12,$F$6:F11,$M$7)</f>
        <v>-2.1330916339618593</v>
      </c>
      <c r="I13">
        <f t="shared" si="3"/>
        <v>-0.88000499999999704</v>
      </c>
      <c r="J13">
        <f t="shared" si="2"/>
        <v>0</v>
      </c>
    </row>
    <row r="14" spans="1:13" x14ac:dyDescent="0.25">
      <c r="A14" s="2">
        <v>42025</v>
      </c>
      <c r="B14" s="3">
        <v>108.949997</v>
      </c>
      <c r="C14" s="3">
        <v>111.05999799999999</v>
      </c>
      <c r="D14" s="3">
        <v>108.269997</v>
      </c>
      <c r="E14" s="3">
        <v>109.550003</v>
      </c>
      <c r="F14" s="8">
        <f t="shared" si="0"/>
        <v>108.4159978</v>
      </c>
      <c r="G14" s="7">
        <f t="shared" si="1"/>
        <v>0.60000600000000759</v>
      </c>
      <c r="H14" s="5">
        <f>interpolation(F13,$G$7:G13,$F$6:F12,$M$7)</f>
        <v>-0.65999600000000669</v>
      </c>
      <c r="I14">
        <f t="shared" si="3"/>
        <v>-0.60000600000000759</v>
      </c>
      <c r="J14">
        <f t="shared" si="2"/>
        <v>0</v>
      </c>
    </row>
    <row r="15" spans="1:13" x14ac:dyDescent="0.25">
      <c r="A15" s="2">
        <v>42026</v>
      </c>
      <c r="B15" s="3">
        <v>110.260002</v>
      </c>
      <c r="C15" s="3">
        <v>112.470001</v>
      </c>
      <c r="D15" s="3">
        <v>109.720001</v>
      </c>
      <c r="E15" s="3">
        <v>112.400002</v>
      </c>
      <c r="F15" s="8">
        <f t="shared" si="0"/>
        <v>108.97866559999999</v>
      </c>
      <c r="G15" s="7">
        <f t="shared" si="1"/>
        <v>2.1400000000000006</v>
      </c>
      <c r="H15" s="5">
        <f>interpolation(F14,$G$7:G14,$F$6:F13,$M$7)</f>
        <v>0.60000600000000759</v>
      </c>
      <c r="I15">
        <f t="shared" si="3"/>
        <v>2.1400000000000006</v>
      </c>
      <c r="J15">
        <f t="shared" si="2"/>
        <v>1</v>
      </c>
    </row>
    <row r="16" spans="1:13" x14ac:dyDescent="0.25">
      <c r="A16" s="2">
        <v>42027</v>
      </c>
      <c r="B16" s="3">
        <v>112.300003</v>
      </c>
      <c r="C16" s="3">
        <v>113.75</v>
      </c>
      <c r="D16" s="3">
        <v>111.529999</v>
      </c>
      <c r="E16" s="3">
        <v>112.980003</v>
      </c>
      <c r="F16" s="8">
        <f t="shared" si="0"/>
        <v>110.14000033333333</v>
      </c>
      <c r="G16" s="7">
        <f t="shared" si="1"/>
        <v>0.67999999999999261</v>
      </c>
      <c r="H16" s="5">
        <f>interpolation(F15,$G$7:G15,$F$6:F14,$M$7)</f>
        <v>0.17580313202014344</v>
      </c>
      <c r="I16">
        <f t="shared" si="3"/>
        <v>0.67999999999999261</v>
      </c>
      <c r="J16">
        <f t="shared" si="2"/>
        <v>1</v>
      </c>
    </row>
    <row r="17" spans="1:10" x14ac:dyDescent="0.25">
      <c r="A17" s="2">
        <v>42030</v>
      </c>
      <c r="B17" s="3">
        <v>113.739998</v>
      </c>
      <c r="C17" s="3">
        <v>114.360001</v>
      </c>
      <c r="D17" s="3">
        <v>112.800003</v>
      </c>
      <c r="E17" s="3">
        <v>113.099998</v>
      </c>
      <c r="F17" s="8">
        <f t="shared" si="0"/>
        <v>111.62799986666666</v>
      </c>
      <c r="G17" s="7">
        <f t="shared" si="1"/>
        <v>-0.64000000000000057</v>
      </c>
      <c r="H17" s="5">
        <f>interpolation(F16,$G$7:G16,$F$6:F15,$M$7)</f>
        <v>-1.9927969724422747</v>
      </c>
      <c r="I17">
        <f t="shared" si="3"/>
        <v>0.64000000000000057</v>
      </c>
      <c r="J17">
        <f t="shared" si="2"/>
        <v>1</v>
      </c>
    </row>
    <row r="18" spans="1:10" x14ac:dyDescent="0.25">
      <c r="A18" s="2">
        <v>42031</v>
      </c>
      <c r="B18" s="3">
        <v>112.41999800000001</v>
      </c>
      <c r="C18" s="3">
        <v>112.480003</v>
      </c>
      <c r="D18" s="3">
        <v>109.029999</v>
      </c>
      <c r="E18" s="3">
        <v>109.139999</v>
      </c>
      <c r="F18" s="8">
        <f t="shared" si="0"/>
        <v>112.22866613333335</v>
      </c>
      <c r="G18" s="7">
        <f t="shared" si="1"/>
        <v>-3.2799990000000037</v>
      </c>
      <c r="H18" s="5">
        <f>interpolation(F17,$G$7:G17,$F$6:F16,$M$7)</f>
        <v>0.76000200000000007</v>
      </c>
      <c r="I18">
        <f t="shared" si="3"/>
        <v>-3.2799990000000037</v>
      </c>
      <c r="J18">
        <f t="shared" si="2"/>
        <v>0</v>
      </c>
    </row>
    <row r="19" spans="1:10" x14ac:dyDescent="0.25">
      <c r="A19" s="2">
        <v>42032</v>
      </c>
      <c r="B19" s="3">
        <v>117.629997</v>
      </c>
      <c r="C19" s="3">
        <v>118.120003</v>
      </c>
      <c r="D19" s="3">
        <v>115.30999799999999</v>
      </c>
      <c r="E19" s="3">
        <v>115.30999799999999</v>
      </c>
      <c r="F19" s="8">
        <f t="shared" si="0"/>
        <v>114.26066526666666</v>
      </c>
      <c r="G19" s="7">
        <f t="shared" si="1"/>
        <v>-2.3199990000000099</v>
      </c>
      <c r="H19" s="5">
        <f>interpolation(F18,$G$7:G18,$F$6:F17,$M$7)</f>
        <v>-3.2799990000000037</v>
      </c>
      <c r="I19">
        <f t="shared" si="3"/>
        <v>2.3199990000000099</v>
      </c>
      <c r="J19">
        <f t="shared" si="2"/>
        <v>1</v>
      </c>
    </row>
    <row r="20" spans="1:10" x14ac:dyDescent="0.25">
      <c r="A20" s="2">
        <v>42033</v>
      </c>
      <c r="B20" s="3">
        <v>116.32</v>
      </c>
      <c r="C20" s="3">
        <v>119.19000200000001</v>
      </c>
      <c r="D20" s="3">
        <v>115.55999799999999</v>
      </c>
      <c r="E20" s="3">
        <v>118.900002</v>
      </c>
      <c r="F20" s="8">
        <f t="shared" si="0"/>
        <v>115.27733206666666</v>
      </c>
      <c r="G20" s="7">
        <f t="shared" si="1"/>
        <v>2.5800020000000075</v>
      </c>
      <c r="H20" s="5">
        <f>interpolation(F19,$G$7:G19,$F$6:F18,$M$7)</f>
        <v>-2.3199990000000099</v>
      </c>
      <c r="I20">
        <f t="shared" si="3"/>
        <v>-2.5800020000000075</v>
      </c>
      <c r="J20">
        <f t="shared" si="2"/>
        <v>0</v>
      </c>
    </row>
    <row r="21" spans="1:10" x14ac:dyDescent="0.25">
      <c r="A21" s="2">
        <v>42034</v>
      </c>
      <c r="B21" s="3">
        <v>118.400002</v>
      </c>
      <c r="C21" s="3">
        <v>120</v>
      </c>
      <c r="D21" s="3">
        <v>116.849998</v>
      </c>
      <c r="E21" s="3">
        <v>117.160004</v>
      </c>
      <c r="F21" s="8">
        <f t="shared" si="0"/>
        <v>116.583333</v>
      </c>
      <c r="G21" s="7">
        <f t="shared" si="1"/>
        <v>-1.2399979999999999</v>
      </c>
      <c r="H21" s="5">
        <f>interpolation(F20,$G$7:G20,$F$6:F19,$M$7)</f>
        <v>2.5800020000000075</v>
      </c>
      <c r="I21">
        <f t="shared" si="3"/>
        <v>-1.2399979999999999</v>
      </c>
      <c r="J21">
        <f t="shared" si="2"/>
        <v>0</v>
      </c>
    </row>
    <row r="22" spans="1:10" x14ac:dyDescent="0.25">
      <c r="A22" s="2">
        <v>42037</v>
      </c>
      <c r="B22" s="3">
        <v>118.050003</v>
      </c>
      <c r="C22" s="3">
        <v>119.16999800000001</v>
      </c>
      <c r="D22" s="3">
        <v>116.08000199999999</v>
      </c>
      <c r="E22" s="3">
        <v>118.629997</v>
      </c>
      <c r="F22" s="8">
        <f t="shared" si="0"/>
        <v>117.36600100000001</v>
      </c>
      <c r="G22" s="7">
        <f t="shared" si="1"/>
        <v>0.57999399999999923</v>
      </c>
      <c r="H22" s="5">
        <f>interpolation(F21,$G$7:G21,$F$6:F20,$M$7)</f>
        <v>-1.2399979999999999</v>
      </c>
      <c r="I22">
        <f t="shared" si="3"/>
        <v>-0.57999399999999923</v>
      </c>
      <c r="J22">
        <f t="shared" si="2"/>
        <v>0</v>
      </c>
    </row>
    <row r="23" spans="1:10" x14ac:dyDescent="0.25">
      <c r="A23" s="2">
        <v>42038</v>
      </c>
      <c r="B23" s="3">
        <v>118.5</v>
      </c>
      <c r="C23" s="3">
        <v>119.089996</v>
      </c>
      <c r="D23" s="3">
        <v>117.610001</v>
      </c>
      <c r="E23" s="3">
        <v>118.650002</v>
      </c>
      <c r="F23" s="8">
        <f t="shared" si="0"/>
        <v>118.01133433333334</v>
      </c>
      <c r="G23" s="7">
        <f t="shared" si="1"/>
        <v>0.15000200000000063</v>
      </c>
      <c r="H23" s="5">
        <f>interpolation(F22,$G$7:G22,$F$6:F21,$M$7)</f>
        <v>0.57999399999999923</v>
      </c>
      <c r="I23">
        <f t="shared" si="3"/>
        <v>0.15000200000000063</v>
      </c>
      <c r="J23">
        <f t="shared" si="2"/>
        <v>1</v>
      </c>
    </row>
    <row r="24" spans="1:10" x14ac:dyDescent="0.25">
      <c r="A24" s="2">
        <v>42039</v>
      </c>
      <c r="B24" s="3">
        <v>118.5</v>
      </c>
      <c r="C24" s="3">
        <v>120.510002</v>
      </c>
      <c r="D24" s="3">
        <v>118.30999799999999</v>
      </c>
      <c r="E24" s="3">
        <v>119.55999799999999</v>
      </c>
      <c r="F24" s="8">
        <f t="shared" si="0"/>
        <v>118.2513342</v>
      </c>
      <c r="G24" s="7">
        <f t="shared" si="1"/>
        <v>1.0599979999999931</v>
      </c>
      <c r="H24" s="5">
        <f>interpolation(F23,$G$7:G23,$F$6:F22,$M$7)</f>
        <v>0.15000200000000063</v>
      </c>
      <c r="I24">
        <f t="shared" si="3"/>
        <v>1.0599979999999931</v>
      </c>
      <c r="J24">
        <f t="shared" si="2"/>
        <v>1</v>
      </c>
    </row>
    <row r="25" spans="1:10" x14ac:dyDescent="0.25">
      <c r="A25" s="2">
        <v>42040</v>
      </c>
      <c r="B25" s="3">
        <v>120.019997</v>
      </c>
      <c r="C25" s="3">
        <v>120.230003</v>
      </c>
      <c r="D25" s="3">
        <v>119.25</v>
      </c>
      <c r="E25" s="3">
        <v>119.94000200000001</v>
      </c>
      <c r="F25" s="8">
        <f t="shared" si="0"/>
        <v>118.93999953333334</v>
      </c>
      <c r="G25" s="7">
        <f t="shared" si="1"/>
        <v>-7.9994999999996708E-2</v>
      </c>
      <c r="H25" s="5">
        <f>interpolation(F24,$G$7:G24,$F$6:F23,$M$7)</f>
        <v>1.0599979999999931</v>
      </c>
      <c r="I25">
        <f t="shared" si="3"/>
        <v>-7.9994999999996708E-2</v>
      </c>
      <c r="J25">
        <f t="shared" si="2"/>
        <v>0</v>
      </c>
    </row>
    <row r="26" spans="1:10" x14ac:dyDescent="0.25">
      <c r="A26" s="2">
        <v>42041</v>
      </c>
      <c r="B26" s="3">
        <v>120.019997</v>
      </c>
      <c r="C26" s="3">
        <v>120.25</v>
      </c>
      <c r="D26" s="3">
        <v>118.449997</v>
      </c>
      <c r="E26" s="3">
        <v>118.93</v>
      </c>
      <c r="F26" s="8">
        <f t="shared" si="0"/>
        <v>119.3819984</v>
      </c>
      <c r="G26" s="7">
        <f t="shared" si="1"/>
        <v>-1.0899969999999968</v>
      </c>
      <c r="H26" s="5">
        <f>interpolation(F25,$G$7:G25,$F$6:F24,$M$7)</f>
        <v>-7.9994999999996708E-2</v>
      </c>
      <c r="I26">
        <f t="shared" si="3"/>
        <v>1.0899969999999968</v>
      </c>
      <c r="J26">
        <f t="shared" si="2"/>
        <v>1</v>
      </c>
    </row>
    <row r="27" spans="1:10" x14ac:dyDescent="0.25">
      <c r="A27" s="2">
        <v>42044</v>
      </c>
      <c r="B27" s="3">
        <v>118.550003</v>
      </c>
      <c r="C27" s="3">
        <v>119.839996</v>
      </c>
      <c r="D27" s="3">
        <v>118.43</v>
      </c>
      <c r="E27" s="3">
        <v>119.720001</v>
      </c>
      <c r="F27" s="8">
        <f t="shared" si="0"/>
        <v>119.22599960000001</v>
      </c>
      <c r="G27" s="7">
        <f t="shared" si="1"/>
        <v>1.1699979999999925</v>
      </c>
      <c r="H27" s="5">
        <f>interpolation(F26,$G$7:G26,$F$6:F25,$M$7)</f>
        <v>-1.0899969999999968</v>
      </c>
      <c r="I27">
        <f t="shared" si="3"/>
        <v>-1.1699979999999925</v>
      </c>
      <c r="J27">
        <f t="shared" si="2"/>
        <v>0</v>
      </c>
    </row>
    <row r="28" spans="1:10" x14ac:dyDescent="0.25">
      <c r="A28" s="2">
        <v>42045</v>
      </c>
      <c r="B28" s="3">
        <v>120.16999800000001</v>
      </c>
      <c r="C28" s="3">
        <v>122.150002</v>
      </c>
      <c r="D28" s="3">
        <v>120.160004</v>
      </c>
      <c r="E28" s="3">
        <v>122.019997</v>
      </c>
      <c r="F28" s="8">
        <f t="shared" si="0"/>
        <v>119.57666580000001</v>
      </c>
      <c r="G28" s="7">
        <f t="shared" si="1"/>
        <v>1.8499989999999968</v>
      </c>
      <c r="H28" s="5">
        <f>interpolation(F27,$G$7:G27,$F$6:F26,$M$7)</f>
        <v>0.37235679638156477</v>
      </c>
      <c r="I28">
        <f t="shared" si="3"/>
        <v>1.8499989999999968</v>
      </c>
      <c r="J28">
        <f t="shared" si="2"/>
        <v>1</v>
      </c>
    </row>
    <row r="29" spans="1:10" x14ac:dyDescent="0.25">
      <c r="A29" s="2">
        <v>42046</v>
      </c>
      <c r="B29" s="3">
        <v>122.769997</v>
      </c>
      <c r="C29" s="3">
        <v>124.91999800000001</v>
      </c>
      <c r="D29" s="3">
        <v>122.5</v>
      </c>
      <c r="E29" s="3">
        <v>124.879997</v>
      </c>
      <c r="F29" s="8">
        <f t="shared" si="0"/>
        <v>120.68266513333334</v>
      </c>
      <c r="G29" s="7">
        <f t="shared" si="1"/>
        <v>2.1099999999999994</v>
      </c>
      <c r="H29" s="5">
        <f>interpolation(F28,$G$7:G28,$F$6:F27,$M$7)</f>
        <v>1.1699979999999925</v>
      </c>
      <c r="I29">
        <f t="shared" si="3"/>
        <v>2.1099999999999994</v>
      </c>
      <c r="J29">
        <f t="shared" si="2"/>
        <v>1</v>
      </c>
    </row>
    <row r="30" spans="1:10" x14ac:dyDescent="0.25">
      <c r="A30" s="2">
        <v>42047</v>
      </c>
      <c r="B30" s="3">
        <v>126.05999799999999</v>
      </c>
      <c r="C30" s="3">
        <v>127.480003</v>
      </c>
      <c r="D30" s="3">
        <v>125.57</v>
      </c>
      <c r="E30" s="3">
        <v>126.459999</v>
      </c>
      <c r="F30" s="8">
        <f t="shared" si="0"/>
        <v>122.60066499999999</v>
      </c>
      <c r="G30" s="7">
        <f t="shared" si="1"/>
        <v>0.40000100000000316</v>
      </c>
      <c r="H30" s="5">
        <f>interpolation(F29,$G$7:G29,$F$6:F28,$M$7)</f>
        <v>2.1099999999999994</v>
      </c>
      <c r="I30">
        <f t="shared" si="3"/>
        <v>0.40000100000000316</v>
      </c>
      <c r="J30">
        <f t="shared" si="2"/>
        <v>1</v>
      </c>
    </row>
    <row r="31" spans="1:10" x14ac:dyDescent="0.25">
      <c r="A31" s="2">
        <v>42048</v>
      </c>
      <c r="B31" s="3">
        <v>127.279999</v>
      </c>
      <c r="C31" s="3">
        <v>127.279999</v>
      </c>
      <c r="D31" s="3">
        <v>125.650002</v>
      </c>
      <c r="E31" s="3">
        <v>127.08000199999999</v>
      </c>
      <c r="F31" s="8">
        <f t="shared" si="0"/>
        <v>124.52266513333333</v>
      </c>
      <c r="G31" s="7">
        <f t="shared" si="1"/>
        <v>-0.19999700000001042</v>
      </c>
      <c r="H31" s="5">
        <f>interpolation(F30,$G$7:G30,$F$6:F29,$M$7)</f>
        <v>0.40000100000000316</v>
      </c>
      <c r="I31">
        <f t="shared" si="3"/>
        <v>-0.19999700000001042</v>
      </c>
      <c r="J31">
        <f t="shared" si="2"/>
        <v>0</v>
      </c>
    </row>
    <row r="32" spans="1:10" x14ac:dyDescent="0.25">
      <c r="A32" s="2">
        <v>42052</v>
      </c>
      <c r="B32" s="3">
        <v>127.489998</v>
      </c>
      <c r="C32" s="3">
        <v>128.88000500000001</v>
      </c>
      <c r="D32" s="3">
        <v>126.91999800000001</v>
      </c>
      <c r="E32" s="3">
        <v>127.83000199999999</v>
      </c>
      <c r="F32" s="8">
        <f t="shared" si="0"/>
        <v>126.03066480000001</v>
      </c>
      <c r="G32" s="7">
        <f t="shared" si="1"/>
        <v>0.34000399999999331</v>
      </c>
      <c r="H32" s="5">
        <f>interpolation(F31,$G$7:G31,$F$6:F30,$M$7)</f>
        <v>-0.19999700000001042</v>
      </c>
      <c r="I32">
        <f t="shared" si="3"/>
        <v>-0.34000399999999331</v>
      </c>
      <c r="J32">
        <f t="shared" si="2"/>
        <v>0</v>
      </c>
    </row>
    <row r="33" spans="1:10" x14ac:dyDescent="0.25">
      <c r="A33" s="2">
        <v>42053</v>
      </c>
      <c r="B33" s="3">
        <v>127.629997</v>
      </c>
      <c r="C33" s="3">
        <v>128.779999</v>
      </c>
      <c r="D33" s="3">
        <v>127.449997</v>
      </c>
      <c r="E33" s="3">
        <v>128.720001</v>
      </c>
      <c r="F33" s="8">
        <f t="shared" si="0"/>
        <v>126.98933113333334</v>
      </c>
      <c r="G33" s="7">
        <f t="shared" si="1"/>
        <v>1.0900039999999933</v>
      </c>
      <c r="H33" s="5">
        <f>interpolation(F32,$G$7:G32,$F$6:F31,$M$7)</f>
        <v>0.34000399999999331</v>
      </c>
      <c r="I33">
        <f t="shared" si="3"/>
        <v>1.0900039999999933</v>
      </c>
      <c r="J33">
        <f t="shared" si="2"/>
        <v>1</v>
      </c>
    </row>
    <row r="34" spans="1:10" x14ac:dyDescent="0.25">
      <c r="A34" s="2">
        <v>42054</v>
      </c>
      <c r="B34" s="3">
        <v>128.479996</v>
      </c>
      <c r="C34" s="3">
        <v>129.029999</v>
      </c>
      <c r="D34" s="3">
        <v>128.33000200000001</v>
      </c>
      <c r="E34" s="3">
        <v>128.449997</v>
      </c>
      <c r="F34" s="8">
        <f t="shared" si="0"/>
        <v>127.7339972</v>
      </c>
      <c r="G34" s="7">
        <f t="shared" si="1"/>
        <v>-2.9999000000003662E-2</v>
      </c>
      <c r="H34" s="5">
        <f>interpolation(F33,$G$7:G33,$F$6:F32,$M$7)</f>
        <v>1.0900039999999933</v>
      </c>
      <c r="I34">
        <f t="shared" si="3"/>
        <v>-2.9999000000003662E-2</v>
      </c>
      <c r="J34">
        <f t="shared" si="2"/>
        <v>0</v>
      </c>
    </row>
    <row r="35" spans="1:10" x14ac:dyDescent="0.25">
      <c r="A35" s="2">
        <v>42055</v>
      </c>
      <c r="B35" s="3">
        <v>128.61999499999999</v>
      </c>
      <c r="C35" s="3">
        <v>129.5</v>
      </c>
      <c r="D35" s="3">
        <v>128.050003</v>
      </c>
      <c r="E35" s="3">
        <v>129.5</v>
      </c>
      <c r="F35" s="8">
        <f t="shared" si="0"/>
        <v>128.14466300000001</v>
      </c>
      <c r="G35" s="7">
        <f t="shared" si="1"/>
        <v>0.88000500000001125</v>
      </c>
      <c r="H35" s="5">
        <f>interpolation(F34,$G$7:G34,$F$6:F33,$M$7)</f>
        <v>-2.9999000000003662E-2</v>
      </c>
      <c r="I35">
        <f t="shared" si="3"/>
        <v>-0.88000500000001125</v>
      </c>
      <c r="J35">
        <f t="shared" si="2"/>
        <v>0</v>
      </c>
    </row>
    <row r="36" spans="1:10" x14ac:dyDescent="0.25">
      <c r="A36" s="2">
        <v>42058</v>
      </c>
      <c r="B36" s="3">
        <v>130.020004</v>
      </c>
      <c r="C36" s="3">
        <v>133</v>
      </c>
      <c r="D36" s="3">
        <v>129.66000399999999</v>
      </c>
      <c r="E36" s="3">
        <v>133</v>
      </c>
      <c r="F36" s="8">
        <f t="shared" si="0"/>
        <v>128.85133200000001</v>
      </c>
      <c r="G36" s="7">
        <f t="shared" si="1"/>
        <v>2.9799959999999999</v>
      </c>
      <c r="H36" s="5">
        <f>interpolation(F35,$G$7:G35,$F$6:F34,$M$7)</f>
        <v>0.88000500000001125</v>
      </c>
      <c r="I36">
        <f t="shared" si="3"/>
        <v>2.9799959999999999</v>
      </c>
      <c r="J36">
        <f t="shared" si="2"/>
        <v>1</v>
      </c>
    </row>
    <row r="37" spans="1:10" x14ac:dyDescent="0.25">
      <c r="A37" s="2">
        <v>42059</v>
      </c>
      <c r="B37" s="3">
        <v>132.94000199999999</v>
      </c>
      <c r="C37" s="3">
        <v>133.60000600000001</v>
      </c>
      <c r="D37" s="3">
        <v>131.16999799999999</v>
      </c>
      <c r="E37" s="3">
        <v>132.16999799999999</v>
      </c>
      <c r="F37" s="8">
        <f t="shared" si="0"/>
        <v>130.34866666666667</v>
      </c>
      <c r="G37" s="7">
        <f t="shared" si="1"/>
        <v>-0.77000400000000013</v>
      </c>
      <c r="H37" s="5">
        <f>interpolation(F36,$G$7:G36,$F$6:F35,$M$7)</f>
        <v>2.9799959999999999</v>
      </c>
      <c r="I37">
        <f t="shared" si="3"/>
        <v>-0.77000400000000013</v>
      </c>
      <c r="J37">
        <f t="shared" si="2"/>
        <v>0</v>
      </c>
    </row>
    <row r="38" spans="1:10" x14ac:dyDescent="0.25">
      <c r="A38" s="2">
        <v>42060</v>
      </c>
      <c r="B38" s="3">
        <v>131.55999800000001</v>
      </c>
      <c r="C38" s="3">
        <v>131.60000600000001</v>
      </c>
      <c r="D38" s="3">
        <v>128.14999399999999</v>
      </c>
      <c r="E38" s="3">
        <v>128.78999300000001</v>
      </c>
      <c r="F38" s="8">
        <f t="shared" si="0"/>
        <v>131.02266639999999</v>
      </c>
      <c r="G38" s="7">
        <f t="shared" si="1"/>
        <v>-2.7700049999999976</v>
      </c>
      <c r="H38" s="5">
        <f>interpolation(F37,$G$7:G37,$F$6:F36,$M$7)</f>
        <v>-0.77000400000000013</v>
      </c>
      <c r="I38">
        <f t="shared" si="3"/>
        <v>2.7700049999999976</v>
      </c>
      <c r="J38">
        <f t="shared" si="2"/>
        <v>1</v>
      </c>
    </row>
    <row r="39" spans="1:10" x14ac:dyDescent="0.25">
      <c r="A39" s="2">
        <v>42061</v>
      </c>
      <c r="B39" s="3">
        <v>128.78999300000001</v>
      </c>
      <c r="C39" s="3">
        <v>130.86999499999999</v>
      </c>
      <c r="D39" s="3">
        <v>126.610001</v>
      </c>
      <c r="E39" s="3">
        <v>130.41999799999999</v>
      </c>
      <c r="F39" s="8">
        <f t="shared" si="0"/>
        <v>130.51133106666666</v>
      </c>
      <c r="G39" s="7">
        <f t="shared" si="1"/>
        <v>1.6300049999999828</v>
      </c>
      <c r="H39" s="5">
        <f>interpolation(F38,$G$7:G38,$F$6:F37,$M$7)</f>
        <v>-2.7700049999999976</v>
      </c>
      <c r="I39">
        <f t="shared" si="3"/>
        <v>-1.6300049999999828</v>
      </c>
      <c r="J39">
        <f t="shared" si="2"/>
        <v>0</v>
      </c>
    </row>
    <row r="40" spans="1:10" x14ac:dyDescent="0.25">
      <c r="A40" s="2">
        <v>42062</v>
      </c>
      <c r="B40" s="3">
        <v>130</v>
      </c>
      <c r="C40" s="3">
        <v>130.570007</v>
      </c>
      <c r="D40" s="3">
        <v>128.240005</v>
      </c>
      <c r="E40" s="3">
        <v>128.46000699999999</v>
      </c>
      <c r="F40" s="8">
        <f t="shared" si="0"/>
        <v>130.38266493333333</v>
      </c>
      <c r="G40" s="7">
        <f t="shared" si="1"/>
        <v>-1.5399930000000097</v>
      </c>
      <c r="H40" s="5">
        <f>interpolation(F39,$G$7:G39,$F$6:F38,$M$7)</f>
        <v>-1.7080980714849847</v>
      </c>
      <c r="I40">
        <f t="shared" si="3"/>
        <v>1.5399930000000097</v>
      </c>
      <c r="J40">
        <f t="shared" si="2"/>
        <v>1</v>
      </c>
    </row>
    <row r="41" spans="1:10" x14ac:dyDescent="0.25">
      <c r="A41" s="2">
        <v>42065</v>
      </c>
      <c r="B41" s="3">
        <v>129.25</v>
      </c>
      <c r="C41" s="3">
        <v>130.279999</v>
      </c>
      <c r="D41" s="3">
        <v>128.300003</v>
      </c>
      <c r="E41" s="3">
        <v>129.08999600000001</v>
      </c>
      <c r="F41" s="8">
        <f t="shared" si="0"/>
        <v>129.91199846666666</v>
      </c>
      <c r="G41" s="7">
        <f t="shared" si="1"/>
        <v>-0.16000399999998649</v>
      </c>
      <c r="H41" s="5">
        <f>interpolation(F40,$G$7:G40,$F$6:F39,$M$7)</f>
        <v>-2.5129218522479859</v>
      </c>
      <c r="I41">
        <f t="shared" si="3"/>
        <v>0.16000399999998649</v>
      </c>
      <c r="J41">
        <f t="shared" si="2"/>
        <v>1</v>
      </c>
    </row>
    <row r="42" spans="1:10" x14ac:dyDescent="0.25">
      <c r="A42" s="2">
        <v>42066</v>
      </c>
      <c r="B42" s="3">
        <v>128.96000699999999</v>
      </c>
      <c r="C42" s="3">
        <v>129.520004</v>
      </c>
      <c r="D42" s="3">
        <v>128.08999600000001</v>
      </c>
      <c r="E42" s="3">
        <v>129.36000100000001</v>
      </c>
      <c r="F42" s="8">
        <f t="shared" si="0"/>
        <v>129.39600126666667</v>
      </c>
      <c r="G42" s="7">
        <f t="shared" si="1"/>
        <v>0.39999400000002083</v>
      </c>
      <c r="H42" s="5">
        <f>interpolation(F41,$G$7:G41,$F$6:F40,$M$7)</f>
        <v>-2.1867440523239288</v>
      </c>
      <c r="I42">
        <f t="shared" si="3"/>
        <v>-0.39999400000002083</v>
      </c>
      <c r="J42">
        <f t="shared" si="2"/>
        <v>0</v>
      </c>
    </row>
    <row r="43" spans="1:10" x14ac:dyDescent="0.25">
      <c r="A43" s="2">
        <v>42067</v>
      </c>
      <c r="B43" s="3">
        <v>129.10000600000001</v>
      </c>
      <c r="C43" s="3">
        <v>129.55999800000001</v>
      </c>
      <c r="D43" s="3">
        <v>128.320007</v>
      </c>
      <c r="E43" s="3">
        <v>128.53999300000001</v>
      </c>
      <c r="F43" s="8">
        <f t="shared" si="0"/>
        <v>129.1920034</v>
      </c>
      <c r="G43" s="7">
        <f t="shared" si="1"/>
        <v>-0.56001299999999787</v>
      </c>
      <c r="H43" s="5">
        <f>interpolation(F42,$G$7:G42,$F$6:F41,$M$7)</f>
        <v>-0.16919123492391452</v>
      </c>
      <c r="I43">
        <f t="shared" si="3"/>
        <v>0.56001299999999787</v>
      </c>
      <c r="J43">
        <f t="shared" si="2"/>
        <v>1</v>
      </c>
    </row>
    <row r="44" spans="1:10" x14ac:dyDescent="0.25">
      <c r="A44" s="2">
        <v>42068</v>
      </c>
      <c r="B44" s="3">
        <v>128.58000200000001</v>
      </c>
      <c r="C44" s="3">
        <v>128.75</v>
      </c>
      <c r="D44" s="3">
        <v>125.760002</v>
      </c>
      <c r="E44" s="3">
        <v>126.410004</v>
      </c>
      <c r="F44" s="8">
        <f t="shared" si="0"/>
        <v>128.97867033333333</v>
      </c>
      <c r="G44" s="7">
        <f t="shared" si="1"/>
        <v>-2.1699980000000068</v>
      </c>
      <c r="H44" s="5">
        <f>interpolation(F43,$G$7:G43,$F$6:F42,$M$7)</f>
        <v>-0.63866204197984899</v>
      </c>
      <c r="I44">
        <f t="shared" si="3"/>
        <v>2.1699980000000068</v>
      </c>
      <c r="J44">
        <f t="shared" si="2"/>
        <v>1</v>
      </c>
    </row>
    <row r="45" spans="1:10" x14ac:dyDescent="0.25">
      <c r="A45" s="2">
        <v>42069</v>
      </c>
      <c r="B45" s="3">
        <v>128.39999399999999</v>
      </c>
      <c r="C45" s="3">
        <v>129.36999499999999</v>
      </c>
      <c r="D45" s="3">
        <v>126.260002</v>
      </c>
      <c r="E45" s="3">
        <v>126.599998</v>
      </c>
      <c r="F45" s="8">
        <f t="shared" si="0"/>
        <v>128.71933399999998</v>
      </c>
      <c r="G45" s="7">
        <f t="shared" si="1"/>
        <v>-1.799995999999993</v>
      </c>
      <c r="H45" s="5">
        <f>interpolation(F44,$G$7:G44,$F$6:F43,$M$7)</f>
        <v>-1.293302705546294</v>
      </c>
      <c r="I45">
        <f t="shared" si="3"/>
        <v>1.799995999999993</v>
      </c>
      <c r="J45">
        <f t="shared" si="2"/>
        <v>1</v>
      </c>
    </row>
    <row r="46" spans="1:10" x14ac:dyDescent="0.25">
      <c r="A46" s="2">
        <v>42072</v>
      </c>
      <c r="B46" s="3">
        <v>127.959999</v>
      </c>
      <c r="C46" s="3">
        <v>129.570007</v>
      </c>
      <c r="D46" s="3">
        <v>125.05999799999999</v>
      </c>
      <c r="E46" s="3">
        <v>127.139999</v>
      </c>
      <c r="F46" s="8">
        <f t="shared" si="0"/>
        <v>128.41999973333333</v>
      </c>
      <c r="G46" s="7">
        <f t="shared" si="1"/>
        <v>-0.81999999999999318</v>
      </c>
      <c r="H46" s="5">
        <f>interpolation(F45,$G$7:G45,$F$6:F44,$M$7)</f>
        <v>-6.9545227929708797E-2</v>
      </c>
      <c r="I46">
        <f t="shared" si="3"/>
        <v>0.81999999999999318</v>
      </c>
      <c r="J46">
        <f t="shared" si="2"/>
        <v>1</v>
      </c>
    </row>
    <row r="47" spans="1:10" x14ac:dyDescent="0.25">
      <c r="A47" s="2">
        <v>42073</v>
      </c>
      <c r="B47" s="3">
        <v>126.410004</v>
      </c>
      <c r="C47" s="3">
        <v>127.220001</v>
      </c>
      <c r="D47" s="3">
        <v>123.800003</v>
      </c>
      <c r="E47" s="3">
        <v>124.510002</v>
      </c>
      <c r="F47" s="8">
        <f t="shared" si="0"/>
        <v>127.69000053333333</v>
      </c>
      <c r="G47" s="7">
        <f t="shared" si="1"/>
        <v>-1.9000020000000006</v>
      </c>
      <c r="H47" s="5">
        <f>interpolation(F46,$G$7:G46,$F$6:F45,$M$7)</f>
        <v>1.1593395107744486</v>
      </c>
      <c r="I47">
        <f t="shared" si="3"/>
        <v>-1.9000020000000006</v>
      </c>
      <c r="J47">
        <f t="shared" si="2"/>
        <v>0</v>
      </c>
    </row>
    <row r="48" spans="1:10" x14ac:dyDescent="0.25">
      <c r="A48" s="2">
        <v>42074</v>
      </c>
      <c r="B48" s="3">
        <v>124.75</v>
      </c>
      <c r="C48" s="3">
        <v>124.769997</v>
      </c>
      <c r="D48" s="3">
        <v>122.110001</v>
      </c>
      <c r="E48" s="3">
        <v>122.239998</v>
      </c>
      <c r="F48" s="8">
        <f t="shared" si="0"/>
        <v>126.57666686666667</v>
      </c>
      <c r="G48" s="7">
        <f t="shared" si="1"/>
        <v>-2.5100020000000001</v>
      </c>
      <c r="H48" s="5">
        <f>interpolation(F47,$G$7:G47,$F$6:F46,$M$7)</f>
        <v>0.82623976958934375</v>
      </c>
      <c r="I48">
        <f t="shared" si="3"/>
        <v>-2.5100020000000001</v>
      </c>
      <c r="J48">
        <f t="shared" si="2"/>
        <v>0</v>
      </c>
    </row>
    <row r="49" spans="1:10" x14ac:dyDescent="0.25">
      <c r="A49" s="2">
        <v>42075</v>
      </c>
      <c r="B49" s="3">
        <v>122.30999799999999</v>
      </c>
      <c r="C49" s="3">
        <v>124.900002</v>
      </c>
      <c r="D49" s="3">
        <v>121.629997</v>
      </c>
      <c r="E49" s="3">
        <v>124.449997</v>
      </c>
      <c r="F49" s="8">
        <f t="shared" si="0"/>
        <v>124.93999959999999</v>
      </c>
      <c r="G49" s="7">
        <f t="shared" si="1"/>
        <v>2.1399990000000031</v>
      </c>
      <c r="H49" s="5">
        <f>interpolation(F48,$G$7:G48,$F$6:F47,$M$7)</f>
        <v>0.45211370239607063</v>
      </c>
      <c r="I49">
        <f t="shared" si="3"/>
        <v>2.1399990000000031</v>
      </c>
      <c r="J49">
        <f t="shared" si="2"/>
        <v>1</v>
      </c>
    </row>
    <row r="50" spans="1:10" x14ac:dyDescent="0.25">
      <c r="A50" s="2">
        <v>42076</v>
      </c>
      <c r="B50" s="3">
        <v>124.400002</v>
      </c>
      <c r="C50" s="3">
        <v>125.400002</v>
      </c>
      <c r="D50" s="3">
        <v>122.58000199999999</v>
      </c>
      <c r="E50" s="3">
        <v>123.589996</v>
      </c>
      <c r="F50" s="8">
        <f t="shared" si="0"/>
        <v>124.4180006</v>
      </c>
      <c r="G50" s="7">
        <f t="shared" si="1"/>
        <v>-0.81000600000000134</v>
      </c>
      <c r="H50" s="5">
        <f>interpolation(F49,$G$7:G49,$F$6:F48,$M$7)</f>
        <v>0.54756429123789518</v>
      </c>
      <c r="I50">
        <f t="shared" si="3"/>
        <v>-0.81000600000000134</v>
      </c>
      <c r="J50">
        <f t="shared" si="2"/>
        <v>0</v>
      </c>
    </row>
    <row r="51" spans="1:10" x14ac:dyDescent="0.25">
      <c r="A51" s="2">
        <v>42079</v>
      </c>
      <c r="B51" s="3">
        <v>123.879997</v>
      </c>
      <c r="C51" s="3">
        <v>124.949997</v>
      </c>
      <c r="D51" s="3">
        <v>122.870003</v>
      </c>
      <c r="E51" s="3">
        <v>124.949997</v>
      </c>
      <c r="F51" s="8">
        <f t="shared" si="0"/>
        <v>123.98933273333333</v>
      </c>
      <c r="G51" s="7">
        <f t="shared" si="1"/>
        <v>1.0699999999999932</v>
      </c>
      <c r="H51" s="5">
        <f>interpolation(F50,$G$7:G50,$F$6:F49,$M$7)</f>
        <v>0.31059767911357744</v>
      </c>
      <c r="I51">
        <f t="shared" si="3"/>
        <v>1.0699999999999932</v>
      </c>
      <c r="J51">
        <f t="shared" si="2"/>
        <v>1</v>
      </c>
    </row>
    <row r="52" spans="1:10" x14ac:dyDescent="0.25">
      <c r="A52" s="2">
        <v>42080</v>
      </c>
      <c r="B52" s="3">
        <v>125.900002</v>
      </c>
      <c r="C52" s="3">
        <v>127.32</v>
      </c>
      <c r="D52" s="3">
        <v>125.650002</v>
      </c>
      <c r="E52" s="3">
        <v>127.040001</v>
      </c>
      <c r="F52" s="8">
        <f t="shared" si="0"/>
        <v>124.506</v>
      </c>
      <c r="G52" s="7">
        <f t="shared" si="1"/>
        <v>1.1399990000000031</v>
      </c>
      <c r="H52" s="5">
        <f>interpolation(F51,$G$7:G51,$F$6:F50,$M$7)</f>
        <v>0.77043677972132119</v>
      </c>
      <c r="I52">
        <f t="shared" si="3"/>
        <v>1.1399990000000031</v>
      </c>
      <c r="J52">
        <f t="shared" si="2"/>
        <v>1</v>
      </c>
    </row>
    <row r="53" spans="1:10" x14ac:dyDescent="0.25">
      <c r="A53" s="2">
        <v>42081</v>
      </c>
      <c r="B53" s="3">
        <v>127</v>
      </c>
      <c r="C53" s="3">
        <v>129.16000399999999</v>
      </c>
      <c r="D53" s="3">
        <v>126.370003</v>
      </c>
      <c r="E53" s="3">
        <v>128.470001</v>
      </c>
      <c r="F53" s="8">
        <f t="shared" si="0"/>
        <v>125.4233334</v>
      </c>
      <c r="G53" s="7">
        <f t="shared" si="1"/>
        <v>1.4700009999999963</v>
      </c>
      <c r="H53" s="5">
        <f>interpolation(F52,$G$7:G52,$F$6:F51,$M$7)</f>
        <v>0.45623707614676756</v>
      </c>
      <c r="I53">
        <f t="shared" si="3"/>
        <v>1.4700009999999963</v>
      </c>
      <c r="J53">
        <f t="shared" si="2"/>
        <v>1</v>
      </c>
    </row>
    <row r="54" spans="1:10" x14ac:dyDescent="0.25">
      <c r="A54" s="2">
        <v>42082</v>
      </c>
      <c r="B54" s="3">
        <v>128.75</v>
      </c>
      <c r="C54" s="3">
        <v>129.25</v>
      </c>
      <c r="D54" s="3">
        <v>127.400002</v>
      </c>
      <c r="E54" s="3">
        <v>127.5</v>
      </c>
      <c r="F54" s="8">
        <f t="shared" si="0"/>
        <v>126.77400013333333</v>
      </c>
      <c r="G54" s="7">
        <f t="shared" si="1"/>
        <v>-1.25</v>
      </c>
      <c r="H54" s="5">
        <f>interpolation(F53,$G$7:G53,$F$6:F52,$M$7)</f>
        <v>3.199304181228306E-2</v>
      </c>
      <c r="I54">
        <f t="shared" si="3"/>
        <v>-1.25</v>
      </c>
      <c r="J54">
        <f t="shared" si="2"/>
        <v>0</v>
      </c>
    </row>
    <row r="55" spans="1:10" x14ac:dyDescent="0.25">
      <c r="A55" s="2">
        <v>42083</v>
      </c>
      <c r="B55" s="3">
        <v>128.25</v>
      </c>
      <c r="C55" s="3">
        <v>128.39999399999999</v>
      </c>
      <c r="D55" s="3">
        <v>125.160004</v>
      </c>
      <c r="E55" s="3">
        <v>125.900002</v>
      </c>
      <c r="F55" s="8">
        <f t="shared" si="0"/>
        <v>127.52866673333332</v>
      </c>
      <c r="G55" s="7">
        <f t="shared" si="1"/>
        <v>-2.3499979999999994</v>
      </c>
      <c r="H55" s="5">
        <f>interpolation(F54,$G$7:G54,$F$6:F53,$M$7)</f>
        <v>1.1023206047780238</v>
      </c>
      <c r="I55">
        <f t="shared" si="3"/>
        <v>-2.3499979999999994</v>
      </c>
      <c r="J55">
        <f t="shared" si="2"/>
        <v>0</v>
      </c>
    </row>
    <row r="56" spans="1:10" x14ac:dyDescent="0.25">
      <c r="A56" s="2">
        <v>42086</v>
      </c>
      <c r="B56" s="3">
        <v>127.120003</v>
      </c>
      <c r="C56" s="3">
        <v>127.849998</v>
      </c>
      <c r="D56" s="3">
        <v>126.519997</v>
      </c>
      <c r="E56" s="3">
        <v>127.209999</v>
      </c>
      <c r="F56" s="8">
        <f t="shared" si="0"/>
        <v>127.65000113333332</v>
      </c>
      <c r="G56" s="7">
        <f t="shared" si="1"/>
        <v>8.9995999999999299E-2</v>
      </c>
      <c r="H56" s="5">
        <f>interpolation(F55,$G$7:G55,$F$6:F54,$M$7)</f>
        <v>-1.9389647775932231</v>
      </c>
      <c r="I56">
        <f t="shared" si="3"/>
        <v>-8.9995999999999299E-2</v>
      </c>
      <c r="J56">
        <f t="shared" si="2"/>
        <v>0</v>
      </c>
    </row>
    <row r="57" spans="1:10" x14ac:dyDescent="0.25">
      <c r="A57" s="2">
        <v>42087</v>
      </c>
      <c r="B57" s="3">
        <v>127.230003</v>
      </c>
      <c r="C57" s="3">
        <v>128.03999300000001</v>
      </c>
      <c r="D57" s="3">
        <v>126.55999799999999</v>
      </c>
      <c r="E57" s="3">
        <v>126.69000200000001</v>
      </c>
      <c r="F57" s="8">
        <f t="shared" si="0"/>
        <v>127.59200179999999</v>
      </c>
      <c r="G57" s="7">
        <f t="shared" si="1"/>
        <v>-0.54000099999998952</v>
      </c>
      <c r="H57" s="5">
        <f>interpolation(F56,$G$7:G56,$F$6:F55,$M$7)</f>
        <v>-1.8653859307000176</v>
      </c>
      <c r="I57">
        <f t="shared" si="3"/>
        <v>0.54000099999998952</v>
      </c>
      <c r="J57">
        <f t="shared" si="2"/>
        <v>1</v>
      </c>
    </row>
    <row r="58" spans="1:10" x14ac:dyDescent="0.25">
      <c r="A58" s="2">
        <v>42088</v>
      </c>
      <c r="B58" s="3">
        <v>126.540001</v>
      </c>
      <c r="C58" s="3">
        <v>126.82</v>
      </c>
      <c r="D58" s="3">
        <v>123.379997</v>
      </c>
      <c r="E58" s="3">
        <v>123.379997</v>
      </c>
      <c r="F58" s="8">
        <f t="shared" si="0"/>
        <v>127.21533506666668</v>
      </c>
      <c r="G58" s="7">
        <f t="shared" si="1"/>
        <v>-3.1600040000000007</v>
      </c>
      <c r="H58" s="5">
        <f>interpolation(F57,$G$7:G57,$F$6:F56,$M$7)</f>
        <v>-0.23885469687410479</v>
      </c>
      <c r="I58">
        <f t="shared" si="3"/>
        <v>3.1600040000000007</v>
      </c>
      <c r="J58">
        <f t="shared" si="2"/>
        <v>1</v>
      </c>
    </row>
    <row r="59" spans="1:10" x14ac:dyDescent="0.25">
      <c r="A59" s="2">
        <v>42089</v>
      </c>
      <c r="B59" s="3">
        <v>122.760002</v>
      </c>
      <c r="C59" s="3">
        <v>124.879997</v>
      </c>
      <c r="D59" s="3">
        <v>122.599998</v>
      </c>
      <c r="E59" s="3">
        <v>124.239998</v>
      </c>
      <c r="F59" s="8">
        <f t="shared" si="0"/>
        <v>125.60933526666668</v>
      </c>
      <c r="G59" s="7">
        <f t="shared" si="1"/>
        <v>1.4799959999999999</v>
      </c>
      <c r="H59" s="5">
        <f>interpolation(F58,$G$7:G58,$F$6:F57,$M$7)</f>
        <v>2.028387022094242E-2</v>
      </c>
      <c r="I59">
        <f t="shared" si="3"/>
        <v>1.4799959999999999</v>
      </c>
      <c r="J59">
        <f t="shared" si="2"/>
        <v>1</v>
      </c>
    </row>
    <row r="60" spans="1:10" x14ac:dyDescent="0.25">
      <c r="A60" s="2">
        <v>42090</v>
      </c>
      <c r="B60" s="3">
        <v>124.57</v>
      </c>
      <c r="C60" s="3">
        <v>124.699997</v>
      </c>
      <c r="D60" s="3">
        <v>122.910004</v>
      </c>
      <c r="E60" s="3">
        <v>123.25</v>
      </c>
      <c r="F60" s="8">
        <f t="shared" si="0"/>
        <v>125.00600133333333</v>
      </c>
      <c r="G60" s="7">
        <f t="shared" si="1"/>
        <v>-1.3199999999999932</v>
      </c>
      <c r="H60" s="5">
        <f>interpolation(F59,$G$7:G59,$F$6:F58,$M$7)</f>
        <v>-0.53334824774830891</v>
      </c>
      <c r="I60">
        <f t="shared" si="3"/>
        <v>1.3199999999999932</v>
      </c>
      <c r="J60">
        <f t="shared" si="2"/>
        <v>1</v>
      </c>
    </row>
    <row r="61" spans="1:10" x14ac:dyDescent="0.25">
      <c r="A61" s="2">
        <v>42093</v>
      </c>
      <c r="B61" s="3">
        <v>124.050003</v>
      </c>
      <c r="C61" s="3">
        <v>126.400002</v>
      </c>
      <c r="D61" s="3">
        <v>124</v>
      </c>
      <c r="E61" s="3">
        <v>126.370003</v>
      </c>
      <c r="F61" s="8">
        <f t="shared" si="0"/>
        <v>124.4746684</v>
      </c>
      <c r="G61" s="7">
        <f t="shared" si="1"/>
        <v>2.3199999999999932</v>
      </c>
      <c r="H61" s="5">
        <f>interpolation(F60,$G$7:G60,$F$6:F59,$M$7)</f>
        <v>-0.87008945920824954</v>
      </c>
      <c r="I61">
        <f t="shared" si="3"/>
        <v>-2.3199999999999932</v>
      </c>
      <c r="J61">
        <f t="shared" si="2"/>
        <v>0</v>
      </c>
    </row>
    <row r="62" spans="1:10" x14ac:dyDescent="0.25">
      <c r="A62" s="2">
        <v>42094</v>
      </c>
      <c r="B62" s="3">
        <v>126.089996</v>
      </c>
      <c r="C62" s="3">
        <v>126.489998</v>
      </c>
      <c r="D62" s="3">
        <v>124.360001</v>
      </c>
      <c r="E62" s="3">
        <v>124.43</v>
      </c>
      <c r="F62" s="8">
        <f t="shared" si="0"/>
        <v>124.8279998</v>
      </c>
      <c r="G62" s="7">
        <f t="shared" si="1"/>
        <v>-1.6599959999999925</v>
      </c>
      <c r="H62" s="5">
        <f>interpolation(F61,$G$7:G61,$F$6:F60,$M$7)</f>
        <v>1.3275833092930083</v>
      </c>
      <c r="I62">
        <f t="shared" si="3"/>
        <v>-1.6599959999999925</v>
      </c>
      <c r="J62">
        <f t="shared" si="2"/>
        <v>0</v>
      </c>
    </row>
    <row r="63" spans="1:10" x14ac:dyDescent="0.25">
      <c r="A63" s="2">
        <v>42095</v>
      </c>
      <c r="B63" s="3">
        <v>124.82</v>
      </c>
      <c r="C63" s="3">
        <v>125.120003</v>
      </c>
      <c r="D63" s="3">
        <v>123.099998</v>
      </c>
      <c r="E63" s="3">
        <v>124.25</v>
      </c>
      <c r="F63" s="8">
        <f t="shared" si="0"/>
        <v>124.83399966666666</v>
      </c>
      <c r="G63" s="7">
        <f t="shared" si="1"/>
        <v>-0.56999999999999318</v>
      </c>
      <c r="H63" s="5">
        <f>interpolation(F62,$G$7:G62,$F$6:F61,$M$7)</f>
        <v>-0.5013785074596625</v>
      </c>
      <c r="I63">
        <f t="shared" si="3"/>
        <v>0.56999999999999318</v>
      </c>
      <c r="J63">
        <f t="shared" si="2"/>
        <v>1</v>
      </c>
    </row>
    <row r="64" spans="1:10" x14ac:dyDescent="0.25">
      <c r="A64" s="2">
        <v>42096</v>
      </c>
      <c r="B64" s="3">
        <v>125.029999</v>
      </c>
      <c r="C64" s="3">
        <v>125.55999799999999</v>
      </c>
      <c r="D64" s="3">
        <v>124.19000200000001</v>
      </c>
      <c r="E64" s="3">
        <v>125.32</v>
      </c>
      <c r="F64" s="8">
        <f t="shared" si="0"/>
        <v>125.02466593333334</v>
      </c>
      <c r="G64" s="7">
        <f t="shared" si="1"/>
        <v>0.29000099999998952</v>
      </c>
      <c r="H64" s="5">
        <f>interpolation(F63,$G$7:G63,$F$6:F62,$M$7)</f>
        <v>-0.58285720152354548</v>
      </c>
      <c r="I64">
        <f t="shared" si="3"/>
        <v>-0.29000099999998952</v>
      </c>
      <c r="J64">
        <f t="shared" si="2"/>
        <v>0</v>
      </c>
    </row>
    <row r="65" spans="1:10" x14ac:dyDescent="0.25">
      <c r="A65" s="2">
        <v>42100</v>
      </c>
      <c r="B65" s="3">
        <v>124.470001</v>
      </c>
      <c r="C65" s="3">
        <v>127.510002</v>
      </c>
      <c r="D65" s="3">
        <v>124.33000199999999</v>
      </c>
      <c r="E65" s="3">
        <v>127.349998</v>
      </c>
      <c r="F65" s="8">
        <f t="shared" si="0"/>
        <v>124.87733306666668</v>
      </c>
      <c r="G65" s="7">
        <f t="shared" si="1"/>
        <v>2.879997000000003</v>
      </c>
      <c r="H65" s="5">
        <f>interpolation(F64,$G$7:G64,$F$6:F63,$M$7)</f>
        <v>2.1603366831304345</v>
      </c>
      <c r="I65">
        <f t="shared" si="3"/>
        <v>2.879997000000003</v>
      </c>
      <c r="J65">
        <f t="shared" si="2"/>
        <v>1</v>
      </c>
    </row>
    <row r="66" spans="1:10" x14ac:dyDescent="0.25">
      <c r="A66" s="2">
        <v>42101</v>
      </c>
      <c r="B66" s="3">
        <v>127.639999</v>
      </c>
      <c r="C66" s="3">
        <v>128.11999499999999</v>
      </c>
      <c r="D66" s="3">
        <v>125.980003</v>
      </c>
      <c r="E66" s="3">
        <v>126.010002</v>
      </c>
      <c r="F66" s="8">
        <f t="shared" si="0"/>
        <v>125.7933328</v>
      </c>
      <c r="G66" s="7">
        <f t="shared" si="1"/>
        <v>-1.629997000000003</v>
      </c>
      <c r="H66" s="5">
        <f>interpolation(F65,$G$7:G65,$F$6:F64,$M$7)</f>
        <v>-0.15968837087845184</v>
      </c>
      <c r="I66">
        <f t="shared" si="3"/>
        <v>1.629997000000003</v>
      </c>
      <c r="J66">
        <f t="shared" si="2"/>
        <v>1</v>
      </c>
    </row>
    <row r="67" spans="1:10" x14ac:dyDescent="0.25">
      <c r="A67" s="2">
        <v>42102</v>
      </c>
      <c r="B67" s="3">
        <v>125.849998</v>
      </c>
      <c r="C67" s="3">
        <v>126.400002</v>
      </c>
      <c r="D67" s="3">
        <v>124.970001</v>
      </c>
      <c r="E67" s="3">
        <v>125.599998</v>
      </c>
      <c r="F67" s="8">
        <f t="shared" si="0"/>
        <v>125.87333246666667</v>
      </c>
      <c r="G67" s="7">
        <f t="shared" si="1"/>
        <v>-0.25</v>
      </c>
      <c r="H67" s="5">
        <f>interpolation(F66,$G$7:G66,$F$6:F65,$M$7)</f>
        <v>-0.26753451576197684</v>
      </c>
      <c r="I67">
        <f t="shared" si="3"/>
        <v>0.25</v>
      </c>
      <c r="J67">
        <f t="shared" si="2"/>
        <v>1</v>
      </c>
    </row>
    <row r="68" spans="1:10" x14ac:dyDescent="0.25">
      <c r="A68" s="2">
        <v>42103</v>
      </c>
      <c r="B68" s="3">
        <v>125.849998</v>
      </c>
      <c r="C68" s="3">
        <v>126.58000199999999</v>
      </c>
      <c r="D68" s="3">
        <v>124.660004</v>
      </c>
      <c r="E68" s="3">
        <v>126.55999799999999</v>
      </c>
      <c r="F68" s="8">
        <f t="shared" si="0"/>
        <v>125.96933200000002</v>
      </c>
      <c r="G68" s="7">
        <f t="shared" si="1"/>
        <v>0.70999999999999375</v>
      </c>
      <c r="H68" s="5">
        <f>interpolation(F67,$G$7:G67,$F$6:F66,$M$7)</f>
        <v>0.20168739711456588</v>
      </c>
      <c r="I68">
        <f t="shared" si="3"/>
        <v>0.70999999999999375</v>
      </c>
      <c r="J68">
        <f t="shared" si="2"/>
        <v>1</v>
      </c>
    </row>
    <row r="69" spans="1:10" x14ac:dyDescent="0.25">
      <c r="A69" s="2">
        <v>42104</v>
      </c>
      <c r="B69" s="3">
        <v>125.949997</v>
      </c>
      <c r="C69" s="3">
        <v>127.209999</v>
      </c>
      <c r="D69" s="3">
        <v>125.260002</v>
      </c>
      <c r="E69" s="3">
        <v>127.099998</v>
      </c>
      <c r="F69" s="8">
        <f t="shared" si="0"/>
        <v>126.02999799999999</v>
      </c>
      <c r="G69" s="7">
        <f t="shared" si="1"/>
        <v>1.1500010000000032</v>
      </c>
      <c r="H69" s="5">
        <f>interpolation(F68,$G$7:G68,$F$6:F67,$M$7)</f>
        <v>0.94186719405931574</v>
      </c>
      <c r="I69">
        <f t="shared" si="3"/>
        <v>1.1500010000000032</v>
      </c>
      <c r="J69">
        <f t="shared" si="2"/>
        <v>1</v>
      </c>
    </row>
    <row r="70" spans="1:10" x14ac:dyDescent="0.25">
      <c r="A70" s="2">
        <v>42107</v>
      </c>
      <c r="B70" s="3">
        <v>128.36999499999999</v>
      </c>
      <c r="C70" s="3">
        <v>128.570007</v>
      </c>
      <c r="D70" s="3">
        <v>126.610001</v>
      </c>
      <c r="E70" s="3">
        <v>126.849998</v>
      </c>
      <c r="F70" s="8">
        <f t="shared" si="0"/>
        <v>126.8359968</v>
      </c>
      <c r="G70" s="7">
        <f t="shared" si="1"/>
        <v>-1.5199969999999894</v>
      </c>
      <c r="H70" s="5">
        <f>interpolation(F69,$G$7:G69,$F$6:F68,$M$7)</f>
        <v>1.0906562774045983</v>
      </c>
      <c r="I70">
        <f t="shared" si="3"/>
        <v>-1.5199969999999894</v>
      </c>
      <c r="J70">
        <f t="shared" si="2"/>
        <v>0</v>
      </c>
    </row>
    <row r="71" spans="1:10" x14ac:dyDescent="0.25">
      <c r="A71" s="2">
        <v>42108</v>
      </c>
      <c r="B71" s="3">
        <v>127</v>
      </c>
      <c r="C71" s="3">
        <v>127.290001</v>
      </c>
      <c r="D71" s="3">
        <v>125.910004</v>
      </c>
      <c r="E71" s="3">
        <v>126.300003</v>
      </c>
      <c r="F71" s="8">
        <f t="shared" ref="F71:F134" si="4">movingAverage(B67:B71,$M$6)</f>
        <v>126.925331</v>
      </c>
      <c r="G71" s="7">
        <f t="shared" ref="G71:G134" si="5">E71-B71</f>
        <v>-0.69999699999999621</v>
      </c>
      <c r="H71" s="5">
        <f>interpolation(F70,$G$7:G70,$F$6:F69,$M$7)</f>
        <v>-1.6820393471817354</v>
      </c>
      <c r="I71">
        <f t="shared" si="3"/>
        <v>0.69999699999999621</v>
      </c>
      <c r="J71">
        <f t="shared" si="2"/>
        <v>1</v>
      </c>
    </row>
    <row r="72" spans="1:10" x14ac:dyDescent="0.25">
      <c r="A72" s="2">
        <v>42109</v>
      </c>
      <c r="B72" s="3">
        <v>126.410004</v>
      </c>
      <c r="C72" s="3">
        <v>127.129997</v>
      </c>
      <c r="D72" s="3">
        <v>126.010002</v>
      </c>
      <c r="E72" s="3">
        <v>126.779999</v>
      </c>
      <c r="F72" s="8">
        <f t="shared" si="4"/>
        <v>126.86066646666669</v>
      </c>
      <c r="G72" s="7">
        <f t="shared" si="5"/>
        <v>0.36999500000000296</v>
      </c>
      <c r="H72" s="5">
        <f>interpolation(F71,$G$7:G71,$F$6:F70,$M$7)</f>
        <v>-0.30964909793242251</v>
      </c>
      <c r="I72">
        <f t="shared" si="3"/>
        <v>-0.36999500000000296</v>
      </c>
      <c r="J72">
        <f t="shared" si="2"/>
        <v>0</v>
      </c>
    </row>
    <row r="73" spans="1:10" x14ac:dyDescent="0.25">
      <c r="A73" s="2">
        <v>42110</v>
      </c>
      <c r="B73" s="3">
        <v>126.279999</v>
      </c>
      <c r="C73" s="3">
        <v>127.099998</v>
      </c>
      <c r="D73" s="3">
        <v>126.110001</v>
      </c>
      <c r="E73" s="3">
        <v>126.16999800000001</v>
      </c>
      <c r="F73" s="8">
        <f t="shared" si="4"/>
        <v>126.7153332</v>
      </c>
      <c r="G73" s="7">
        <f t="shared" si="5"/>
        <v>-0.11000099999999691</v>
      </c>
      <c r="H73" s="5">
        <f>interpolation(F72,$G$7:G72,$F$6:F71,$M$7)</f>
        <v>-0.40451838177743793</v>
      </c>
      <c r="I73">
        <f t="shared" si="3"/>
        <v>0.11000099999999691</v>
      </c>
      <c r="J73">
        <f t="shared" ref="J73:J136" si="6">IF(I73&gt;0,1,0)</f>
        <v>1</v>
      </c>
    </row>
    <row r="74" spans="1:10" x14ac:dyDescent="0.25">
      <c r="A74" s="2">
        <v>42111</v>
      </c>
      <c r="B74" s="3">
        <v>125.550003</v>
      </c>
      <c r="C74" s="3">
        <v>126.139999</v>
      </c>
      <c r="D74" s="3">
        <v>124.459999</v>
      </c>
      <c r="E74" s="3">
        <v>124.75</v>
      </c>
      <c r="F74" s="8">
        <f t="shared" si="4"/>
        <v>126.2980012</v>
      </c>
      <c r="G74" s="7">
        <f t="shared" si="5"/>
        <v>-0.80000300000000379</v>
      </c>
      <c r="H74" s="5">
        <f>interpolation(F73,$G$7:G73,$F$6:F72,$M$7)</f>
        <v>-1.0151275084938414</v>
      </c>
      <c r="I74">
        <f t="shared" ref="I74:I137" si="7">IF(H74&gt;=0,E74-B74,B74-E74)</f>
        <v>0.80000300000000379</v>
      </c>
      <c r="J74">
        <f t="shared" si="6"/>
        <v>1</v>
      </c>
    </row>
    <row r="75" spans="1:10" x14ac:dyDescent="0.25">
      <c r="A75" s="2">
        <v>42114</v>
      </c>
      <c r="B75" s="3">
        <v>125.57</v>
      </c>
      <c r="C75" s="3">
        <v>128.11999499999999</v>
      </c>
      <c r="D75" s="3">
        <v>125.16999800000001</v>
      </c>
      <c r="E75" s="3">
        <v>127.599998</v>
      </c>
      <c r="F75" s="8">
        <f t="shared" si="4"/>
        <v>125.91400113333333</v>
      </c>
      <c r="G75" s="7">
        <f t="shared" si="5"/>
        <v>2.0299980000000062</v>
      </c>
      <c r="H75" s="5">
        <f>interpolation(F74,$G$7:G74,$F$6:F73,$M$7)</f>
        <v>1.6041080674656658</v>
      </c>
      <c r="I75">
        <f t="shared" si="7"/>
        <v>2.0299980000000062</v>
      </c>
      <c r="J75">
        <f t="shared" si="6"/>
        <v>1</v>
      </c>
    </row>
    <row r="76" spans="1:10" x14ac:dyDescent="0.25">
      <c r="A76" s="2">
        <v>42115</v>
      </c>
      <c r="B76" s="3">
        <v>128.10000600000001</v>
      </c>
      <c r="C76" s="3">
        <v>128.199997</v>
      </c>
      <c r="D76" s="3">
        <v>126.66999800000001</v>
      </c>
      <c r="E76" s="3">
        <v>126.910004</v>
      </c>
      <c r="F76" s="8">
        <f t="shared" si="4"/>
        <v>126.56000273333332</v>
      </c>
      <c r="G76" s="7">
        <f t="shared" si="5"/>
        <v>-1.1900020000000069</v>
      </c>
      <c r="H76" s="5">
        <f>interpolation(F75,$G$7:G75,$F$6:F74,$M$7)</f>
        <v>0.89639938529555496</v>
      </c>
      <c r="I76">
        <f t="shared" si="7"/>
        <v>-1.1900020000000069</v>
      </c>
      <c r="J76">
        <f t="shared" si="6"/>
        <v>0</v>
      </c>
    </row>
    <row r="77" spans="1:10" x14ac:dyDescent="0.25">
      <c r="A77" s="2">
        <v>42116</v>
      </c>
      <c r="B77" s="3">
        <v>126.989998</v>
      </c>
      <c r="C77" s="3">
        <v>128.86999499999999</v>
      </c>
      <c r="D77" s="3">
        <v>126.32</v>
      </c>
      <c r="E77" s="3">
        <v>128.61999499999999</v>
      </c>
      <c r="F77" s="8">
        <f t="shared" si="4"/>
        <v>126.76266793333335</v>
      </c>
      <c r="G77" s="7">
        <f t="shared" si="5"/>
        <v>1.6299969999999888</v>
      </c>
      <c r="H77" s="5">
        <f>interpolation(F76,$G$7:G76,$F$6:F75,$M$7)</f>
        <v>2.1334209692266803</v>
      </c>
      <c r="I77">
        <f t="shared" si="7"/>
        <v>1.6299969999999888</v>
      </c>
      <c r="J77">
        <f t="shared" si="6"/>
        <v>1</v>
      </c>
    </row>
    <row r="78" spans="1:10" x14ac:dyDescent="0.25">
      <c r="A78" s="2">
        <v>42117</v>
      </c>
      <c r="B78" s="3">
        <v>128.300003</v>
      </c>
      <c r="C78" s="3">
        <v>130.41999799999999</v>
      </c>
      <c r="D78" s="3">
        <v>128.13999899999999</v>
      </c>
      <c r="E78" s="3">
        <v>129.66999799999999</v>
      </c>
      <c r="F78" s="8">
        <f t="shared" si="4"/>
        <v>127.36333520000001</v>
      </c>
      <c r="G78" s="7">
        <f t="shared" si="5"/>
        <v>1.3699949999999887</v>
      </c>
      <c r="H78" s="5">
        <f>interpolation(F77,$G$7:G77,$F$6:F76,$M$7)</f>
        <v>-2.0505984517199307</v>
      </c>
      <c r="I78">
        <f t="shared" si="7"/>
        <v>-1.3699949999999887</v>
      </c>
      <c r="J78">
        <f t="shared" si="6"/>
        <v>0</v>
      </c>
    </row>
    <row r="79" spans="1:10" x14ac:dyDescent="0.25">
      <c r="A79" s="2">
        <v>42118</v>
      </c>
      <c r="B79" s="3">
        <v>130.490005</v>
      </c>
      <c r="C79" s="3">
        <v>130.63000500000001</v>
      </c>
      <c r="D79" s="3">
        <v>129.229996</v>
      </c>
      <c r="E79" s="3">
        <v>130.279999</v>
      </c>
      <c r="F79" s="8">
        <f t="shared" si="4"/>
        <v>128.55933619999999</v>
      </c>
      <c r="G79" s="7">
        <f t="shared" si="5"/>
        <v>-0.21000599999999281</v>
      </c>
      <c r="H79" s="5">
        <f>interpolation(F78,$G$7:G78,$F$6:F77,$M$7)</f>
        <v>0.82343872469532264</v>
      </c>
      <c r="I79">
        <f t="shared" si="7"/>
        <v>-0.21000599999999281</v>
      </c>
      <c r="J79">
        <f t="shared" si="6"/>
        <v>0</v>
      </c>
    </row>
    <row r="80" spans="1:10" x14ac:dyDescent="0.25">
      <c r="A80" s="2">
        <v>42121</v>
      </c>
      <c r="B80" s="3">
        <v>132.30999800000001</v>
      </c>
      <c r="C80" s="3">
        <v>133.13000500000001</v>
      </c>
      <c r="D80" s="3">
        <v>131.14999399999999</v>
      </c>
      <c r="E80" s="3">
        <v>132.64999399999999</v>
      </c>
      <c r="F80" s="8">
        <f t="shared" si="4"/>
        <v>130.03266806666667</v>
      </c>
      <c r="G80" s="7">
        <f t="shared" si="5"/>
        <v>0.33999599999998509</v>
      </c>
      <c r="H80" s="5">
        <f>interpolation(F79,$G$7:G79,$F$6:F78,$M$7)</f>
        <v>-1.3972741822038659</v>
      </c>
      <c r="I80">
        <f t="shared" si="7"/>
        <v>-0.33999599999998509</v>
      </c>
      <c r="J80">
        <f t="shared" si="6"/>
        <v>0</v>
      </c>
    </row>
    <row r="81" spans="1:10" x14ac:dyDescent="0.25">
      <c r="A81" s="2">
        <v>42122</v>
      </c>
      <c r="B81" s="3">
        <v>134.46000699999999</v>
      </c>
      <c r="C81" s="3">
        <v>134.53999300000001</v>
      </c>
      <c r="D81" s="3">
        <v>129.570007</v>
      </c>
      <c r="E81" s="3">
        <v>130.55999800000001</v>
      </c>
      <c r="F81" s="8">
        <f t="shared" si="4"/>
        <v>131.77333640000001</v>
      </c>
      <c r="G81" s="7">
        <f t="shared" si="5"/>
        <v>-3.900008999999983</v>
      </c>
      <c r="H81" s="5">
        <f>interpolation(F80,$G$7:G80,$F$6:F79,$M$7)</f>
        <v>-0.47600867509844774</v>
      </c>
      <c r="I81">
        <f t="shared" si="7"/>
        <v>3.900008999999983</v>
      </c>
      <c r="J81">
        <f t="shared" si="6"/>
        <v>1</v>
      </c>
    </row>
    <row r="82" spans="1:10" x14ac:dyDescent="0.25">
      <c r="A82" s="2">
        <v>42123</v>
      </c>
      <c r="B82" s="3">
        <v>130.16000399999999</v>
      </c>
      <c r="C82" s="3">
        <v>131.58999600000001</v>
      </c>
      <c r="D82" s="3">
        <v>128.300003</v>
      </c>
      <c r="E82" s="3">
        <v>128.63999899999999</v>
      </c>
      <c r="F82" s="8">
        <f t="shared" si="4"/>
        <v>131.65667033333332</v>
      </c>
      <c r="G82" s="7">
        <f t="shared" si="5"/>
        <v>-1.5200049999999976</v>
      </c>
      <c r="H82" s="5">
        <f>interpolation(F81,$G$7:G81,$F$6:F80,$M$7)</f>
        <v>1.6300049999999828</v>
      </c>
      <c r="I82">
        <f t="shared" si="7"/>
        <v>-1.5200049999999976</v>
      </c>
      <c r="J82">
        <f t="shared" si="6"/>
        <v>0</v>
      </c>
    </row>
    <row r="83" spans="1:10" x14ac:dyDescent="0.25">
      <c r="A83" s="2">
        <v>42124</v>
      </c>
      <c r="B83" s="3">
        <v>128.63999899999999</v>
      </c>
      <c r="C83" s="3">
        <v>128.63999899999999</v>
      </c>
      <c r="D83" s="3">
        <v>124.58000199999999</v>
      </c>
      <c r="E83" s="3">
        <v>125.150002</v>
      </c>
      <c r="F83" s="8">
        <f t="shared" si="4"/>
        <v>130.82200219999999</v>
      </c>
      <c r="G83" s="7">
        <f t="shared" si="5"/>
        <v>-3.4899969999999882</v>
      </c>
      <c r="H83" s="5">
        <f>interpolation(F82,$G$7:G82,$F$6:F81,$M$7)</f>
        <v>-1.0304433062321579</v>
      </c>
      <c r="I83">
        <f t="shared" si="7"/>
        <v>3.4899969999999882</v>
      </c>
      <c r="J83">
        <f t="shared" si="6"/>
        <v>1</v>
      </c>
    </row>
    <row r="84" spans="1:10" x14ac:dyDescent="0.25">
      <c r="A84" s="2">
        <v>42125</v>
      </c>
      <c r="B84" s="3">
        <v>126.099998</v>
      </c>
      <c r="C84" s="3">
        <v>130.13000500000001</v>
      </c>
      <c r="D84" s="3">
        <v>125.300003</v>
      </c>
      <c r="E84" s="3">
        <v>128.949997</v>
      </c>
      <c r="F84" s="8">
        <f t="shared" si="4"/>
        <v>129.11800066666666</v>
      </c>
      <c r="G84" s="7">
        <f t="shared" si="5"/>
        <v>2.8499989999999968</v>
      </c>
      <c r="H84" s="5">
        <f>interpolation(F83,$G$7:G83,$F$6:F82,$M$7)</f>
        <v>0.3859972594729949</v>
      </c>
      <c r="I84">
        <f t="shared" si="7"/>
        <v>2.8499989999999968</v>
      </c>
      <c r="J84">
        <f t="shared" si="6"/>
        <v>1</v>
      </c>
    </row>
    <row r="85" spans="1:10" x14ac:dyDescent="0.25">
      <c r="A85" s="2">
        <v>42128</v>
      </c>
      <c r="B85" s="3">
        <v>129.5</v>
      </c>
      <c r="C85" s="3">
        <v>130.570007</v>
      </c>
      <c r="D85" s="3">
        <v>128.259995</v>
      </c>
      <c r="E85" s="3">
        <v>128.699997</v>
      </c>
      <c r="F85" s="8">
        <f t="shared" si="4"/>
        <v>128.84000026666666</v>
      </c>
      <c r="G85" s="7">
        <f t="shared" si="5"/>
        <v>-0.80000300000000379</v>
      </c>
      <c r="H85" s="5">
        <f>interpolation(F84,$G$7:G84,$F$6:F83,$M$7)</f>
        <v>-2.0416486551626836</v>
      </c>
      <c r="I85">
        <f t="shared" si="7"/>
        <v>0.80000300000000379</v>
      </c>
      <c r="J85">
        <f t="shared" si="6"/>
        <v>1</v>
      </c>
    </row>
    <row r="86" spans="1:10" x14ac:dyDescent="0.25">
      <c r="A86" s="2">
        <v>42129</v>
      </c>
      <c r="B86" s="3">
        <v>128.14999399999999</v>
      </c>
      <c r="C86" s="3">
        <v>128.449997</v>
      </c>
      <c r="D86" s="3">
        <v>125.779999</v>
      </c>
      <c r="E86" s="3">
        <v>125.800003</v>
      </c>
      <c r="F86" s="8">
        <f t="shared" si="4"/>
        <v>128.29933106666664</v>
      </c>
      <c r="G86" s="7">
        <f t="shared" si="5"/>
        <v>-2.3499909999999886</v>
      </c>
      <c r="H86" s="5">
        <f>interpolation(F85,$G$7:G85,$F$6:F84,$M$7)</f>
        <v>-0.77429604487745218</v>
      </c>
      <c r="I86">
        <f t="shared" si="7"/>
        <v>2.3499909999999886</v>
      </c>
      <c r="J86">
        <f t="shared" si="6"/>
        <v>1</v>
      </c>
    </row>
    <row r="87" spans="1:10" x14ac:dyDescent="0.25">
      <c r="A87" s="2">
        <v>42130</v>
      </c>
      <c r="B87" s="3">
        <v>126.55999799999999</v>
      </c>
      <c r="C87" s="3">
        <v>126.75</v>
      </c>
      <c r="D87" s="3">
        <v>123.360001</v>
      </c>
      <c r="E87" s="3">
        <v>125.010002</v>
      </c>
      <c r="F87" s="8">
        <f t="shared" si="4"/>
        <v>127.64933073333333</v>
      </c>
      <c r="G87" s="7">
        <f t="shared" si="5"/>
        <v>-1.549995999999993</v>
      </c>
      <c r="H87" s="5">
        <f>interpolation(F86,$G$7:G86,$F$6:F85,$M$7)</f>
        <v>0.23869865525632711</v>
      </c>
      <c r="I87">
        <f t="shared" si="7"/>
        <v>-1.549995999999993</v>
      </c>
      <c r="J87">
        <f t="shared" si="6"/>
        <v>0</v>
      </c>
    </row>
    <row r="88" spans="1:10" x14ac:dyDescent="0.25">
      <c r="A88" s="2">
        <v>42131</v>
      </c>
      <c r="B88" s="3">
        <v>124.769997</v>
      </c>
      <c r="C88" s="3">
        <v>126.08000199999999</v>
      </c>
      <c r="D88" s="3">
        <v>124.019997</v>
      </c>
      <c r="E88" s="3">
        <v>125.260002</v>
      </c>
      <c r="F88" s="8">
        <f t="shared" si="4"/>
        <v>126.64266380000001</v>
      </c>
      <c r="G88" s="7">
        <f t="shared" si="5"/>
        <v>0.49000499999999647</v>
      </c>
      <c r="H88" s="5">
        <f>interpolation(F87,$G$7:G87,$F$6:F86,$M$7)</f>
        <v>-0.57028496897389547</v>
      </c>
      <c r="I88">
        <f t="shared" si="7"/>
        <v>-0.49000499999999647</v>
      </c>
      <c r="J88">
        <f t="shared" si="6"/>
        <v>0</v>
      </c>
    </row>
    <row r="89" spans="1:10" x14ac:dyDescent="0.25">
      <c r="A89" s="2">
        <v>42132</v>
      </c>
      <c r="B89" s="3">
        <v>126.68</v>
      </c>
      <c r="C89" s="3">
        <v>127.620003</v>
      </c>
      <c r="D89" s="3">
        <v>126.110001</v>
      </c>
      <c r="E89" s="3">
        <v>127.620003</v>
      </c>
      <c r="F89" s="8">
        <f t="shared" si="4"/>
        <v>126.53066466666668</v>
      </c>
      <c r="G89" s="7">
        <f t="shared" si="5"/>
        <v>0.94000299999999015</v>
      </c>
      <c r="H89" s="5">
        <f>interpolation(F88,$G$7:G88,$F$6:F87,$M$7)</f>
        <v>0.74073278065418136</v>
      </c>
      <c r="I89">
        <f t="shared" si="7"/>
        <v>0.94000299999999015</v>
      </c>
      <c r="J89">
        <f t="shared" si="6"/>
        <v>1</v>
      </c>
    </row>
    <row r="90" spans="1:10" x14ac:dyDescent="0.25">
      <c r="A90" s="2">
        <v>42135</v>
      </c>
      <c r="B90" s="3">
        <v>127.389999</v>
      </c>
      <c r="C90" s="3">
        <v>127.55999799999999</v>
      </c>
      <c r="D90" s="3">
        <v>125.629997</v>
      </c>
      <c r="E90" s="3">
        <v>126.32</v>
      </c>
      <c r="F90" s="8">
        <f t="shared" si="4"/>
        <v>126.61666506666667</v>
      </c>
      <c r="G90" s="7">
        <f t="shared" si="5"/>
        <v>-1.0699990000000099</v>
      </c>
      <c r="H90" s="5">
        <f>interpolation(F89,$G$7:G89,$F$6:F88,$M$7)</f>
        <v>1.6747877913187301</v>
      </c>
      <c r="I90">
        <f t="shared" si="7"/>
        <v>-1.0699990000000099</v>
      </c>
      <c r="J90">
        <f t="shared" si="6"/>
        <v>0</v>
      </c>
    </row>
    <row r="91" spans="1:10" x14ac:dyDescent="0.25">
      <c r="A91" s="2">
        <v>42136</v>
      </c>
      <c r="B91" s="3">
        <v>125.599998</v>
      </c>
      <c r="C91" s="3">
        <v>126.879997</v>
      </c>
      <c r="D91" s="3">
        <v>124.82</v>
      </c>
      <c r="E91" s="3">
        <v>125.870003</v>
      </c>
      <c r="F91" s="8">
        <f t="shared" si="4"/>
        <v>126.24666520000001</v>
      </c>
      <c r="G91" s="7">
        <f t="shared" si="5"/>
        <v>0.27000499999999761</v>
      </c>
      <c r="H91" s="5">
        <f>interpolation(F90,$G$7:G90,$F$6:F89,$M$7)</f>
        <v>1.4127276317263786</v>
      </c>
      <c r="I91">
        <f t="shared" si="7"/>
        <v>0.27000499999999761</v>
      </c>
      <c r="J91">
        <f t="shared" si="6"/>
        <v>1</v>
      </c>
    </row>
    <row r="92" spans="1:10" x14ac:dyDescent="0.25">
      <c r="A92" s="2">
        <v>42137</v>
      </c>
      <c r="B92" s="3">
        <v>126.150002</v>
      </c>
      <c r="C92" s="3">
        <v>127.19000200000001</v>
      </c>
      <c r="D92" s="3">
        <v>125.870003</v>
      </c>
      <c r="E92" s="3">
        <v>126.010002</v>
      </c>
      <c r="F92" s="8">
        <f t="shared" si="4"/>
        <v>126.22999973333334</v>
      </c>
      <c r="G92" s="7">
        <f t="shared" si="5"/>
        <v>-0.14000000000000057</v>
      </c>
      <c r="H92" s="5">
        <f>interpolation(F91,$G$7:G91,$F$6:F90,$M$7)</f>
        <v>1.8494930931336204</v>
      </c>
      <c r="I92">
        <f t="shared" si="7"/>
        <v>-0.14000000000000057</v>
      </c>
      <c r="J92">
        <f t="shared" si="6"/>
        <v>0</v>
      </c>
    </row>
    <row r="93" spans="1:10" x14ac:dyDescent="0.25">
      <c r="A93" s="2">
        <v>42138</v>
      </c>
      <c r="B93" s="3">
        <v>127.410004</v>
      </c>
      <c r="C93" s="3">
        <v>128.949997</v>
      </c>
      <c r="D93" s="3">
        <v>127.160004</v>
      </c>
      <c r="E93" s="3">
        <v>128.949997</v>
      </c>
      <c r="F93" s="8">
        <f t="shared" si="4"/>
        <v>126.66066800000002</v>
      </c>
      <c r="G93" s="7">
        <f t="shared" si="5"/>
        <v>1.5399929999999955</v>
      </c>
      <c r="H93" s="5">
        <f>interpolation(F92,$G$7:G92,$F$6:F91,$M$7)</f>
        <v>-4.5099293048227525E-2</v>
      </c>
      <c r="I93">
        <f t="shared" si="7"/>
        <v>-1.5399929999999955</v>
      </c>
      <c r="J93">
        <f t="shared" si="6"/>
        <v>0</v>
      </c>
    </row>
    <row r="94" spans="1:10" x14ac:dyDescent="0.25">
      <c r="A94" s="2">
        <v>42139</v>
      </c>
      <c r="B94" s="3">
        <v>129.070007</v>
      </c>
      <c r="C94" s="3">
        <v>129.490005</v>
      </c>
      <c r="D94" s="3">
        <v>128.21000699999999</v>
      </c>
      <c r="E94" s="3">
        <v>128.770004</v>
      </c>
      <c r="F94" s="8">
        <f t="shared" si="4"/>
        <v>127.46867013333333</v>
      </c>
      <c r="G94" s="7">
        <f t="shared" si="5"/>
        <v>-0.30000300000000379</v>
      </c>
      <c r="H94" s="5">
        <f>interpolation(F93,$G$7:G93,$F$6:F92,$M$7)</f>
        <v>0.5089079857957397</v>
      </c>
      <c r="I94">
        <f t="shared" si="7"/>
        <v>-0.30000300000000379</v>
      </c>
      <c r="J94">
        <f t="shared" si="6"/>
        <v>0</v>
      </c>
    </row>
    <row r="95" spans="1:10" x14ac:dyDescent="0.25">
      <c r="A95" s="2">
        <v>42142</v>
      </c>
      <c r="B95" s="3">
        <v>128.38000500000001</v>
      </c>
      <c r="C95" s="3">
        <v>130.720001</v>
      </c>
      <c r="D95" s="3">
        <v>128.36000100000001</v>
      </c>
      <c r="E95" s="3">
        <v>130.19000199999999</v>
      </c>
      <c r="F95" s="8">
        <f t="shared" si="4"/>
        <v>127.8873378</v>
      </c>
      <c r="G95" s="7">
        <f t="shared" si="5"/>
        <v>1.8099969999999814</v>
      </c>
      <c r="H95" s="5">
        <f>interpolation(F94,$G$7:G94,$F$6:F93,$M$7)</f>
        <v>-1.8870709394813268E-2</v>
      </c>
      <c r="I95">
        <f t="shared" si="7"/>
        <v>-1.8099969999999814</v>
      </c>
      <c r="J95">
        <f t="shared" si="6"/>
        <v>0</v>
      </c>
    </row>
    <row r="96" spans="1:10" x14ac:dyDescent="0.25">
      <c r="A96" s="2">
        <v>42143</v>
      </c>
      <c r="B96" s="3">
        <v>130.69000199999999</v>
      </c>
      <c r="C96" s="3">
        <v>130.88000500000001</v>
      </c>
      <c r="D96" s="3">
        <v>129.63999899999999</v>
      </c>
      <c r="E96" s="3">
        <v>130.070007</v>
      </c>
      <c r="F96" s="8">
        <f t="shared" si="4"/>
        <v>129.01000406666668</v>
      </c>
      <c r="G96" s="7">
        <f t="shared" si="5"/>
        <v>-0.61999499999998875</v>
      </c>
      <c r="H96" s="5">
        <f>interpolation(F95,$G$7:G95,$F$6:F94,$M$7)</f>
        <v>1.664131362445046</v>
      </c>
      <c r="I96">
        <f t="shared" si="7"/>
        <v>-0.61999499999998875</v>
      </c>
      <c r="J96">
        <f t="shared" si="6"/>
        <v>0</v>
      </c>
    </row>
    <row r="97" spans="1:10" x14ac:dyDescent="0.25">
      <c r="A97" s="2">
        <v>42144</v>
      </c>
      <c r="B97" s="3">
        <v>130</v>
      </c>
      <c r="C97" s="3">
        <v>130.979996</v>
      </c>
      <c r="D97" s="3">
        <v>129.33999600000001</v>
      </c>
      <c r="E97" s="3">
        <v>130.05999800000001</v>
      </c>
      <c r="F97" s="8">
        <f t="shared" si="4"/>
        <v>129.56333606666666</v>
      </c>
      <c r="G97" s="7">
        <f t="shared" si="5"/>
        <v>5.9998000000007323E-2</v>
      </c>
      <c r="H97" s="5">
        <f>interpolation(F96,$G$7:G96,$F$6:F95,$M$7)</f>
        <v>-1.575109478539809</v>
      </c>
      <c r="I97">
        <f t="shared" si="7"/>
        <v>-5.9998000000007323E-2</v>
      </c>
      <c r="J97">
        <f t="shared" si="6"/>
        <v>0</v>
      </c>
    </row>
    <row r="98" spans="1:10" x14ac:dyDescent="0.25">
      <c r="A98" s="2">
        <v>42145</v>
      </c>
      <c r="B98" s="3">
        <v>130.070007</v>
      </c>
      <c r="C98" s="3">
        <v>131.63000500000001</v>
      </c>
      <c r="D98" s="3">
        <v>129.83000200000001</v>
      </c>
      <c r="E98" s="3">
        <v>131.38999899999999</v>
      </c>
      <c r="F98" s="8">
        <f t="shared" si="4"/>
        <v>129.8833372</v>
      </c>
      <c r="G98" s="7">
        <f t="shared" si="5"/>
        <v>1.319991999999985</v>
      </c>
      <c r="H98" s="5">
        <f>interpolation(F97,$G$7:G97,$F$6:F96,$M$7)</f>
        <v>-0.24868848245688047</v>
      </c>
      <c r="I98">
        <f t="shared" si="7"/>
        <v>-1.319991999999985</v>
      </c>
      <c r="J98">
        <f t="shared" si="6"/>
        <v>0</v>
      </c>
    </row>
    <row r="99" spans="1:10" x14ac:dyDescent="0.25">
      <c r="A99" s="2">
        <v>42146</v>
      </c>
      <c r="B99" s="3">
        <v>131.60000600000001</v>
      </c>
      <c r="C99" s="3">
        <v>132.970001</v>
      </c>
      <c r="D99" s="3">
        <v>131.39999399999999</v>
      </c>
      <c r="E99" s="3">
        <v>132.53999300000001</v>
      </c>
      <c r="F99" s="8">
        <f t="shared" si="4"/>
        <v>130.53600446666667</v>
      </c>
      <c r="G99" s="7">
        <f t="shared" si="5"/>
        <v>0.93998700000000213</v>
      </c>
      <c r="H99" s="5">
        <f>interpolation(F98,$G$7:G98,$F$6:F97,$M$7)</f>
        <v>0.47562104785718334</v>
      </c>
      <c r="I99">
        <f t="shared" si="7"/>
        <v>0.93998700000000213</v>
      </c>
      <c r="J99">
        <f t="shared" si="6"/>
        <v>1</v>
      </c>
    </row>
    <row r="100" spans="1:10" x14ac:dyDescent="0.25">
      <c r="A100" s="2">
        <v>42150</v>
      </c>
      <c r="B100" s="3">
        <v>132.60000600000001</v>
      </c>
      <c r="C100" s="3">
        <v>132.91000399999999</v>
      </c>
      <c r="D100" s="3">
        <v>129.11999499999999</v>
      </c>
      <c r="E100" s="3">
        <v>129.61999499999999</v>
      </c>
      <c r="F100" s="8">
        <f t="shared" si="4"/>
        <v>131.35333846666666</v>
      </c>
      <c r="G100" s="7">
        <f t="shared" si="5"/>
        <v>-2.9800110000000188</v>
      </c>
      <c r="H100" s="5">
        <f>interpolation(F99,$G$7:G99,$F$6:F98,$M$7)</f>
        <v>-1.1913412683419038</v>
      </c>
      <c r="I100">
        <f t="shared" si="7"/>
        <v>2.9800110000000188</v>
      </c>
      <c r="J100">
        <f t="shared" si="6"/>
        <v>1</v>
      </c>
    </row>
    <row r="101" spans="1:10" x14ac:dyDescent="0.25">
      <c r="A101" s="2">
        <v>42151</v>
      </c>
      <c r="B101" s="3">
        <v>130.33999600000001</v>
      </c>
      <c r="C101" s="3">
        <v>132.259995</v>
      </c>
      <c r="D101" s="3">
        <v>130.050003</v>
      </c>
      <c r="E101" s="3">
        <v>132.03999300000001</v>
      </c>
      <c r="F101" s="8">
        <f t="shared" si="4"/>
        <v>131.1360024</v>
      </c>
      <c r="G101" s="7">
        <f t="shared" si="5"/>
        <v>1.6999969999999962</v>
      </c>
      <c r="H101" s="5">
        <f>interpolation(F100,$G$7:G100,$F$6:F99,$M$7)</f>
        <v>-1.0403911184848516</v>
      </c>
      <c r="I101">
        <f t="shared" si="7"/>
        <v>-1.6999969999999962</v>
      </c>
      <c r="J101">
        <f t="shared" si="6"/>
        <v>0</v>
      </c>
    </row>
    <row r="102" spans="1:10" x14ac:dyDescent="0.25">
      <c r="A102" s="2">
        <v>42152</v>
      </c>
      <c r="B102" s="3">
        <v>131.86000100000001</v>
      </c>
      <c r="C102" s="3">
        <v>131.949997</v>
      </c>
      <c r="D102" s="3">
        <v>131.10000600000001</v>
      </c>
      <c r="E102" s="3">
        <v>131.779999</v>
      </c>
      <c r="F102" s="8">
        <f t="shared" si="4"/>
        <v>131.4486684</v>
      </c>
      <c r="G102" s="7">
        <f t="shared" si="5"/>
        <v>-8.0002000000007456E-2</v>
      </c>
      <c r="H102" s="5">
        <f>interpolation(F101,$G$7:G101,$F$6:F100,$M$7)</f>
        <v>1.6539943662381607</v>
      </c>
      <c r="I102">
        <f t="shared" si="7"/>
        <v>-8.0002000000007456E-2</v>
      </c>
      <c r="J102">
        <f t="shared" si="6"/>
        <v>0</v>
      </c>
    </row>
    <row r="103" spans="1:10" x14ac:dyDescent="0.25">
      <c r="A103" s="2">
        <v>42153</v>
      </c>
      <c r="B103" s="3">
        <v>131.229996</v>
      </c>
      <c r="C103" s="3">
        <v>131.449997</v>
      </c>
      <c r="D103" s="3">
        <v>129.89999399999999</v>
      </c>
      <c r="E103" s="3">
        <v>130.279999</v>
      </c>
      <c r="F103" s="8">
        <f t="shared" si="4"/>
        <v>131.42733266666667</v>
      </c>
      <c r="G103" s="7">
        <f t="shared" si="5"/>
        <v>-0.94999699999999621</v>
      </c>
      <c r="H103" s="5">
        <f>interpolation(F102,$G$7:G102,$F$6:F101,$M$7)</f>
        <v>6.8906315538014185E-2</v>
      </c>
      <c r="I103">
        <f t="shared" si="7"/>
        <v>-0.94999699999999621</v>
      </c>
      <c r="J103">
        <f t="shared" si="6"/>
        <v>0</v>
      </c>
    </row>
    <row r="104" spans="1:10" x14ac:dyDescent="0.25">
      <c r="A104" s="2">
        <v>42156</v>
      </c>
      <c r="B104" s="3">
        <v>130.279999</v>
      </c>
      <c r="C104" s="3">
        <v>131.38999899999999</v>
      </c>
      <c r="D104" s="3">
        <v>130.050003</v>
      </c>
      <c r="E104" s="3">
        <v>130.53999300000001</v>
      </c>
      <c r="F104" s="8">
        <f t="shared" si="4"/>
        <v>131.01199866666667</v>
      </c>
      <c r="G104" s="7">
        <f t="shared" si="5"/>
        <v>0.25999400000000605</v>
      </c>
      <c r="H104" s="5">
        <f>interpolation(F103,$G$7:G103,$F$6:F102,$M$7)</f>
        <v>-0.35690348422861196</v>
      </c>
      <c r="I104">
        <f t="shared" si="7"/>
        <v>-0.25999400000000605</v>
      </c>
      <c r="J104">
        <f t="shared" si="6"/>
        <v>0</v>
      </c>
    </row>
    <row r="105" spans="1:10" x14ac:dyDescent="0.25">
      <c r="A105" s="2">
        <v>42157</v>
      </c>
      <c r="B105" s="3">
        <v>129.86000100000001</v>
      </c>
      <c r="C105" s="3">
        <v>130.66000399999999</v>
      </c>
      <c r="D105" s="3">
        <v>129.320007</v>
      </c>
      <c r="E105" s="3">
        <v>129.96000699999999</v>
      </c>
      <c r="F105" s="8">
        <f t="shared" si="4"/>
        <v>130.54466580000002</v>
      </c>
      <c r="G105" s="7">
        <f t="shared" si="5"/>
        <v>0.10000599999997917</v>
      </c>
      <c r="H105" s="5">
        <f>interpolation(F104,$G$7:G104,$F$6:F103,$M$7)</f>
        <v>1.6948624616710299</v>
      </c>
      <c r="I105">
        <f t="shared" si="7"/>
        <v>0.10000599999997917</v>
      </c>
      <c r="J105">
        <f t="shared" si="6"/>
        <v>1</v>
      </c>
    </row>
    <row r="106" spans="1:10" x14ac:dyDescent="0.25">
      <c r="A106" s="2">
        <v>42158</v>
      </c>
      <c r="B106" s="3">
        <v>130.66000399999999</v>
      </c>
      <c r="C106" s="3">
        <v>130.94000199999999</v>
      </c>
      <c r="D106" s="3">
        <v>129.89999399999999</v>
      </c>
      <c r="E106" s="3">
        <v>130.11999499999999</v>
      </c>
      <c r="F106" s="8">
        <f t="shared" si="4"/>
        <v>130.5266676</v>
      </c>
      <c r="G106" s="7">
        <f t="shared" si="5"/>
        <v>-0.54000899999999774</v>
      </c>
      <c r="H106" s="5">
        <f>interpolation(F105,$G$7:G105,$F$6:F104,$M$7)</f>
        <v>-2.8034513491306354</v>
      </c>
      <c r="I106">
        <f t="shared" si="7"/>
        <v>0.54000899999999774</v>
      </c>
      <c r="J106">
        <f t="shared" si="6"/>
        <v>1</v>
      </c>
    </row>
    <row r="107" spans="1:10" x14ac:dyDescent="0.25">
      <c r="A107" s="2">
        <v>42159</v>
      </c>
      <c r="B107" s="3">
        <v>129.58000200000001</v>
      </c>
      <c r="C107" s="3">
        <v>130.58000200000001</v>
      </c>
      <c r="D107" s="3">
        <v>128.91000399999999</v>
      </c>
      <c r="E107" s="3">
        <v>129.36000100000001</v>
      </c>
      <c r="F107" s="8">
        <f t="shared" si="4"/>
        <v>130.12733486666667</v>
      </c>
      <c r="G107" s="7">
        <f t="shared" si="5"/>
        <v>-0.22000099999999634</v>
      </c>
      <c r="H107" s="5">
        <f>interpolation(F106,$G$7:G106,$F$6:F105,$M$7)</f>
        <v>-2.4350818024187624</v>
      </c>
      <c r="I107">
        <f t="shared" si="7"/>
        <v>0.22000099999999634</v>
      </c>
      <c r="J107">
        <f t="shared" si="6"/>
        <v>1</v>
      </c>
    </row>
    <row r="108" spans="1:10" x14ac:dyDescent="0.25">
      <c r="A108" s="2">
        <v>42160</v>
      </c>
      <c r="B108" s="3">
        <v>129.5</v>
      </c>
      <c r="C108" s="3">
        <v>129.69000199999999</v>
      </c>
      <c r="D108" s="3">
        <v>128.36000100000001</v>
      </c>
      <c r="E108" s="3">
        <v>128.64999399999999</v>
      </c>
      <c r="F108" s="8">
        <f t="shared" si="4"/>
        <v>129.85333473333333</v>
      </c>
      <c r="G108" s="7">
        <f t="shared" si="5"/>
        <v>-0.85000600000000759</v>
      </c>
      <c r="H108" s="5">
        <f>interpolation(F107,$G$7:G107,$F$6:F106,$M$7)</f>
        <v>-3.5614826183413388</v>
      </c>
      <c r="I108">
        <f t="shared" si="7"/>
        <v>0.85000600000000759</v>
      </c>
      <c r="J108">
        <f t="shared" si="6"/>
        <v>1</v>
      </c>
    </row>
    <row r="109" spans="1:10" x14ac:dyDescent="0.25">
      <c r="A109" s="2">
        <v>42163</v>
      </c>
      <c r="B109" s="3">
        <v>128.89999399999999</v>
      </c>
      <c r="C109" s="3">
        <v>129.21000699999999</v>
      </c>
      <c r="D109" s="3">
        <v>126.83000199999999</v>
      </c>
      <c r="E109" s="3">
        <v>127.800003</v>
      </c>
      <c r="F109" s="8">
        <f t="shared" si="4"/>
        <v>129.49466566666666</v>
      </c>
      <c r="G109" s="7">
        <f t="shared" si="5"/>
        <v>-1.0999909999999886</v>
      </c>
      <c r="H109" s="5">
        <f>interpolation(F108,$G$7:G108,$F$6:F107,$M$7)</f>
        <v>0.97561527177175356</v>
      </c>
      <c r="I109">
        <f t="shared" si="7"/>
        <v>-1.0999909999999886</v>
      </c>
      <c r="J109">
        <f t="shared" si="6"/>
        <v>0</v>
      </c>
    </row>
    <row r="110" spans="1:10" x14ac:dyDescent="0.25">
      <c r="A110" s="2">
        <v>42164</v>
      </c>
      <c r="B110" s="3">
        <v>126.699997</v>
      </c>
      <c r="C110" s="3">
        <v>128.08000200000001</v>
      </c>
      <c r="D110" s="3">
        <v>125.620003</v>
      </c>
      <c r="E110" s="3">
        <v>127.41999800000001</v>
      </c>
      <c r="F110" s="8">
        <f t="shared" si="4"/>
        <v>128.49466459999999</v>
      </c>
      <c r="G110" s="7">
        <f t="shared" si="5"/>
        <v>0.72000100000001055</v>
      </c>
      <c r="H110" s="5">
        <f>interpolation(F109,$G$7:G109,$F$6:F108,$M$7)</f>
        <v>0.54848066253755112</v>
      </c>
      <c r="I110">
        <f t="shared" si="7"/>
        <v>0.72000100000001055</v>
      </c>
      <c r="J110">
        <f t="shared" si="6"/>
        <v>1</v>
      </c>
    </row>
    <row r="111" spans="1:10" x14ac:dyDescent="0.25">
      <c r="A111" s="2">
        <v>42165</v>
      </c>
      <c r="B111" s="3">
        <v>127.91999800000001</v>
      </c>
      <c r="C111" s="3">
        <v>129.33999600000001</v>
      </c>
      <c r="D111" s="3">
        <v>127.849998</v>
      </c>
      <c r="E111" s="3">
        <v>128.88000500000001</v>
      </c>
      <c r="F111" s="8">
        <f t="shared" si="4"/>
        <v>128.11199746666668</v>
      </c>
      <c r="G111" s="7">
        <f t="shared" si="5"/>
        <v>0.9600070000000045</v>
      </c>
      <c r="H111" s="5">
        <f>interpolation(F110,$G$7:G110,$F$6:F109,$M$7)</f>
        <v>-0.69967622739583146</v>
      </c>
      <c r="I111">
        <f t="shared" si="7"/>
        <v>-0.9600070000000045</v>
      </c>
      <c r="J111">
        <f t="shared" si="6"/>
        <v>0</v>
      </c>
    </row>
    <row r="112" spans="1:10" x14ac:dyDescent="0.25">
      <c r="A112" s="2">
        <v>42166</v>
      </c>
      <c r="B112" s="3">
        <v>129.179993</v>
      </c>
      <c r="C112" s="3">
        <v>130.179993</v>
      </c>
      <c r="D112" s="3">
        <v>128.479996</v>
      </c>
      <c r="E112" s="3">
        <v>128.58999600000001</v>
      </c>
      <c r="F112" s="8">
        <f t="shared" si="4"/>
        <v>128.33199573333334</v>
      </c>
      <c r="G112" s="7">
        <f t="shared" si="5"/>
        <v>-0.58999699999998256</v>
      </c>
      <c r="H112" s="5">
        <f>interpolation(F111,$G$7:G111,$F$6:F110,$M$7)</f>
        <v>2.5230037349199388</v>
      </c>
      <c r="I112">
        <f t="shared" si="7"/>
        <v>-0.58999699999998256</v>
      </c>
      <c r="J112">
        <f t="shared" si="6"/>
        <v>0</v>
      </c>
    </row>
    <row r="113" spans="1:10" x14ac:dyDescent="0.25">
      <c r="A113" s="2">
        <v>42167</v>
      </c>
      <c r="B113" s="3">
        <v>128.19000199999999</v>
      </c>
      <c r="C113" s="3">
        <v>128.33000200000001</v>
      </c>
      <c r="D113" s="3">
        <v>127.110001</v>
      </c>
      <c r="E113" s="3">
        <v>127.16999800000001</v>
      </c>
      <c r="F113" s="8">
        <f t="shared" si="4"/>
        <v>128.24866426666668</v>
      </c>
      <c r="G113" s="7">
        <f t="shared" si="5"/>
        <v>-1.0200039999999859</v>
      </c>
      <c r="H113" s="5">
        <f>interpolation(F112,$G$7:G112,$F$6:F111,$M$7)</f>
        <v>-1.6447416339509064</v>
      </c>
      <c r="I113">
        <f t="shared" si="7"/>
        <v>1.0200039999999859</v>
      </c>
      <c r="J113">
        <f t="shared" si="6"/>
        <v>1</v>
      </c>
    </row>
    <row r="114" spans="1:10" x14ac:dyDescent="0.25">
      <c r="A114" s="2">
        <v>42170</v>
      </c>
      <c r="B114" s="3">
        <v>126.099998</v>
      </c>
      <c r="C114" s="3">
        <v>127.239998</v>
      </c>
      <c r="D114" s="3">
        <v>125.709999</v>
      </c>
      <c r="E114" s="3">
        <v>126.91999800000001</v>
      </c>
      <c r="F114" s="8">
        <f t="shared" si="4"/>
        <v>127.555998</v>
      </c>
      <c r="G114" s="7">
        <f t="shared" si="5"/>
        <v>0.82000000000000739</v>
      </c>
      <c r="H114" s="5">
        <f>interpolation(F113,$G$7:G113,$F$6:F112,$M$7)</f>
        <v>-6.6042630620132867E-2</v>
      </c>
      <c r="I114">
        <f t="shared" si="7"/>
        <v>-0.82000000000000739</v>
      </c>
      <c r="J114">
        <f t="shared" si="6"/>
        <v>0</v>
      </c>
    </row>
    <row r="115" spans="1:10" x14ac:dyDescent="0.25">
      <c r="A115" s="2">
        <v>42171</v>
      </c>
      <c r="B115" s="3">
        <v>127.029999</v>
      </c>
      <c r="C115" s="3">
        <v>127.849998</v>
      </c>
      <c r="D115" s="3">
        <v>126.370003</v>
      </c>
      <c r="E115" s="3">
        <v>127.599998</v>
      </c>
      <c r="F115" s="8">
        <f t="shared" si="4"/>
        <v>127.35999846666665</v>
      </c>
      <c r="G115" s="7">
        <f t="shared" si="5"/>
        <v>0.5699989999999957</v>
      </c>
      <c r="H115" s="5">
        <f>interpolation(F114,$G$7:G114,$F$6:F113,$M$7)</f>
        <v>-1.3124911424577388</v>
      </c>
      <c r="I115">
        <f t="shared" si="7"/>
        <v>-0.5699989999999957</v>
      </c>
      <c r="J115">
        <f t="shared" si="6"/>
        <v>0</v>
      </c>
    </row>
    <row r="116" spans="1:10" x14ac:dyDescent="0.25">
      <c r="A116" s="2">
        <v>42172</v>
      </c>
      <c r="B116" s="3">
        <v>127.720001</v>
      </c>
      <c r="C116" s="3">
        <v>127.879997</v>
      </c>
      <c r="D116" s="3">
        <v>126.739998</v>
      </c>
      <c r="E116" s="3">
        <v>127.300003</v>
      </c>
      <c r="F116" s="8">
        <f t="shared" si="4"/>
        <v>127.37199946666667</v>
      </c>
      <c r="G116" s="7">
        <f t="shared" si="5"/>
        <v>-0.41999799999999254</v>
      </c>
      <c r="H116" s="5">
        <f>interpolation(F115,$G$7:G115,$F$6:F114,$M$7)</f>
        <v>-0.17190410184739033</v>
      </c>
      <c r="I116">
        <f t="shared" si="7"/>
        <v>0.41999799999999254</v>
      </c>
      <c r="J116">
        <f t="shared" si="6"/>
        <v>1</v>
      </c>
    </row>
    <row r="117" spans="1:10" x14ac:dyDescent="0.25">
      <c r="A117" s="2">
        <v>42173</v>
      </c>
      <c r="B117" s="3">
        <v>127.230003</v>
      </c>
      <c r="C117" s="3">
        <v>128.30999800000001</v>
      </c>
      <c r="D117" s="3">
        <v>127.220001</v>
      </c>
      <c r="E117" s="3">
        <v>127.879997</v>
      </c>
      <c r="F117" s="8">
        <f t="shared" si="4"/>
        <v>127.23400093333333</v>
      </c>
      <c r="G117" s="7">
        <f t="shared" si="5"/>
        <v>0.64999400000000662</v>
      </c>
      <c r="H117" s="5">
        <f>interpolation(F116,$G$7:G116,$F$6:F115,$M$7)</f>
        <v>-4.3851770765686734E-2</v>
      </c>
      <c r="I117">
        <f t="shared" si="7"/>
        <v>-0.64999400000000662</v>
      </c>
      <c r="J117">
        <f t="shared" si="6"/>
        <v>0</v>
      </c>
    </row>
    <row r="118" spans="1:10" x14ac:dyDescent="0.25">
      <c r="A118" s="2">
        <v>42174</v>
      </c>
      <c r="B118" s="3">
        <v>127.709999</v>
      </c>
      <c r="C118" s="3">
        <v>127.82</v>
      </c>
      <c r="D118" s="3">
        <v>126.400002</v>
      </c>
      <c r="E118" s="3">
        <v>126.599998</v>
      </c>
      <c r="F118" s="8">
        <f t="shared" si="4"/>
        <v>127.38600039999999</v>
      </c>
      <c r="G118" s="7">
        <f t="shared" si="5"/>
        <v>-1.1100009999999969</v>
      </c>
      <c r="H118" s="5">
        <f>interpolation(F117,$G$7:G117,$F$6:F116,$M$7)</f>
        <v>1.2348404549800063</v>
      </c>
      <c r="I118">
        <f t="shared" si="7"/>
        <v>-1.1100009999999969</v>
      </c>
      <c r="J118">
        <f t="shared" si="6"/>
        <v>0</v>
      </c>
    </row>
    <row r="119" spans="1:10" x14ac:dyDescent="0.25">
      <c r="A119" s="2">
        <v>42177</v>
      </c>
      <c r="B119" s="3">
        <v>127.489998</v>
      </c>
      <c r="C119" s="3">
        <v>128.05999800000001</v>
      </c>
      <c r="D119" s="3">
        <v>127.08000199999999</v>
      </c>
      <c r="E119" s="3">
        <v>127.610001</v>
      </c>
      <c r="F119" s="8">
        <f t="shared" si="4"/>
        <v>127.4966664</v>
      </c>
      <c r="G119" s="7">
        <f t="shared" si="5"/>
        <v>0.12000299999999697</v>
      </c>
      <c r="H119" s="5">
        <f>interpolation(F118,$G$7:G118,$F$6:F117,$M$7)</f>
        <v>0.81799868259367714</v>
      </c>
      <c r="I119">
        <f t="shared" si="7"/>
        <v>0.12000299999999697</v>
      </c>
      <c r="J119">
        <f t="shared" si="6"/>
        <v>1</v>
      </c>
    </row>
    <row r="120" spans="1:10" x14ac:dyDescent="0.25">
      <c r="A120" s="2">
        <v>42178</v>
      </c>
      <c r="B120" s="3">
        <v>127.480003</v>
      </c>
      <c r="C120" s="3">
        <v>127.610001</v>
      </c>
      <c r="D120" s="3">
        <v>126.879997</v>
      </c>
      <c r="E120" s="3">
        <v>127.029999</v>
      </c>
      <c r="F120" s="8">
        <f t="shared" si="4"/>
        <v>127.51133406666666</v>
      </c>
      <c r="G120" s="7">
        <f t="shared" si="5"/>
        <v>-0.45000399999999274</v>
      </c>
      <c r="H120" s="5">
        <f>interpolation(F119,$G$7:G119,$F$6:F118,$M$7)</f>
        <v>1.0073914079675654</v>
      </c>
      <c r="I120">
        <f t="shared" si="7"/>
        <v>-0.45000399999999274</v>
      </c>
      <c r="J120">
        <f t="shared" si="6"/>
        <v>0</v>
      </c>
    </row>
    <row r="121" spans="1:10" x14ac:dyDescent="0.25">
      <c r="A121" s="2">
        <v>42179</v>
      </c>
      <c r="B121" s="3">
        <v>127.209999</v>
      </c>
      <c r="C121" s="3">
        <v>129.800003</v>
      </c>
      <c r="D121" s="3">
        <v>127.120003</v>
      </c>
      <c r="E121" s="3">
        <v>128.11000100000001</v>
      </c>
      <c r="F121" s="8">
        <f t="shared" si="4"/>
        <v>127.40600013333332</v>
      </c>
      <c r="G121" s="7">
        <f t="shared" si="5"/>
        <v>0.90000200000001485</v>
      </c>
      <c r="H121" s="5">
        <f>interpolation(F120,$G$7:G120,$F$6:F119,$M$7)</f>
        <v>-0.20248970327386678</v>
      </c>
      <c r="I121">
        <f t="shared" si="7"/>
        <v>-0.90000200000001485</v>
      </c>
      <c r="J121">
        <f t="shared" si="6"/>
        <v>0</v>
      </c>
    </row>
    <row r="122" spans="1:10" x14ac:dyDescent="0.25">
      <c r="A122" s="2">
        <v>42180</v>
      </c>
      <c r="B122" s="3">
        <v>128.86000100000001</v>
      </c>
      <c r="C122" s="3">
        <v>129.199997</v>
      </c>
      <c r="D122" s="3">
        <v>127.5</v>
      </c>
      <c r="E122" s="3">
        <v>127.5</v>
      </c>
      <c r="F122" s="8">
        <f t="shared" si="4"/>
        <v>127.88466700000001</v>
      </c>
      <c r="G122" s="7">
        <f t="shared" si="5"/>
        <v>-1.3600010000000111</v>
      </c>
      <c r="H122" s="5">
        <f>interpolation(F121,$G$7:G121,$F$6:F120,$M$7)</f>
        <v>0.52885189756022588</v>
      </c>
      <c r="I122">
        <f t="shared" si="7"/>
        <v>-1.3600010000000111</v>
      </c>
      <c r="J122">
        <f t="shared" si="6"/>
        <v>0</v>
      </c>
    </row>
    <row r="123" spans="1:10" x14ac:dyDescent="0.25">
      <c r="A123" s="2">
        <v>42181</v>
      </c>
      <c r="B123" s="3">
        <v>127.66999800000001</v>
      </c>
      <c r="C123" s="3">
        <v>127.989998</v>
      </c>
      <c r="D123" s="3">
        <v>126.510002</v>
      </c>
      <c r="E123" s="3">
        <v>126.75</v>
      </c>
      <c r="F123" s="8">
        <f t="shared" si="4"/>
        <v>127.85799966666667</v>
      </c>
      <c r="G123" s="7">
        <f t="shared" si="5"/>
        <v>-0.91999800000000675</v>
      </c>
      <c r="H123" s="5">
        <f>interpolation(F122,$G$7:G122,$F$6:F121,$M$7)</f>
        <v>-0.59386884684821317</v>
      </c>
      <c r="I123">
        <f t="shared" si="7"/>
        <v>0.91999800000000675</v>
      </c>
      <c r="J123">
        <f t="shared" si="6"/>
        <v>1</v>
      </c>
    </row>
    <row r="124" spans="1:10" x14ac:dyDescent="0.25">
      <c r="A124" s="2">
        <v>42184</v>
      </c>
      <c r="B124" s="3">
        <v>125.459999</v>
      </c>
      <c r="C124" s="3">
        <v>126.470001</v>
      </c>
      <c r="D124" s="3">
        <v>124.480003</v>
      </c>
      <c r="E124" s="3">
        <v>124.529999</v>
      </c>
      <c r="F124" s="8">
        <f t="shared" si="4"/>
        <v>127.09733273333335</v>
      </c>
      <c r="G124" s="7">
        <f t="shared" si="5"/>
        <v>-0.92999999999999261</v>
      </c>
      <c r="H124" s="5">
        <f>interpolation(F123,$G$7:G123,$F$6:F122,$M$7)</f>
        <v>-0.60141205907485751</v>
      </c>
      <c r="I124">
        <f t="shared" si="7"/>
        <v>0.92999999999999261</v>
      </c>
      <c r="J124">
        <f t="shared" si="6"/>
        <v>1</v>
      </c>
    </row>
    <row r="125" spans="1:10" x14ac:dyDescent="0.25">
      <c r="A125" s="2">
        <v>42185</v>
      </c>
      <c r="B125" s="3">
        <v>125.57</v>
      </c>
      <c r="C125" s="3">
        <v>126.120003</v>
      </c>
      <c r="D125" s="3">
        <v>124.860001</v>
      </c>
      <c r="E125" s="3">
        <v>125.43</v>
      </c>
      <c r="F125" s="8">
        <f t="shared" si="4"/>
        <v>126.50866606666665</v>
      </c>
      <c r="G125" s="7">
        <f t="shared" si="5"/>
        <v>-0.13999999999998636</v>
      </c>
      <c r="H125" s="5">
        <f>interpolation(F124,$G$7:G124,$F$6:F123,$M$7)</f>
        <v>0.69158966258081611</v>
      </c>
      <c r="I125">
        <f t="shared" si="7"/>
        <v>-0.13999999999998636</v>
      </c>
      <c r="J125">
        <f t="shared" si="6"/>
        <v>0</v>
      </c>
    </row>
    <row r="126" spans="1:10" x14ac:dyDescent="0.25">
      <c r="A126" s="2">
        <v>42186</v>
      </c>
      <c r="B126" s="3">
        <v>126.900002</v>
      </c>
      <c r="C126" s="3">
        <v>126.94000200000001</v>
      </c>
      <c r="D126" s="3">
        <v>125.989998</v>
      </c>
      <c r="E126" s="3">
        <v>126.599998</v>
      </c>
      <c r="F126" s="8">
        <f t="shared" si="4"/>
        <v>126.49066693333333</v>
      </c>
      <c r="G126" s="7">
        <f t="shared" si="5"/>
        <v>-0.30000400000000127</v>
      </c>
      <c r="H126" s="5">
        <f>interpolation(F125,$G$7:G125,$F$6:F124,$M$7)</f>
        <v>-0.77689069648625642</v>
      </c>
      <c r="I126">
        <f t="shared" si="7"/>
        <v>0.30000400000000127</v>
      </c>
      <c r="J126">
        <f t="shared" si="6"/>
        <v>1</v>
      </c>
    </row>
    <row r="127" spans="1:10" x14ac:dyDescent="0.25">
      <c r="A127" s="2">
        <v>42187</v>
      </c>
      <c r="B127" s="3">
        <v>126.43</v>
      </c>
      <c r="C127" s="3">
        <v>126.69000200000001</v>
      </c>
      <c r="D127" s="3">
        <v>125.769997</v>
      </c>
      <c r="E127" s="3">
        <v>126.44000200000001</v>
      </c>
      <c r="F127" s="8">
        <f t="shared" si="4"/>
        <v>126.33666693333335</v>
      </c>
      <c r="G127" s="7">
        <f t="shared" si="5"/>
        <v>1.0002000000000066E-2</v>
      </c>
      <c r="H127" s="5">
        <f>interpolation(F126,$G$7:G126,$F$6:F125,$M$7)</f>
        <v>-0.10092943513075582</v>
      </c>
      <c r="I127">
        <f t="shared" si="7"/>
        <v>-1.0002000000000066E-2</v>
      </c>
      <c r="J127">
        <f t="shared" si="6"/>
        <v>0</v>
      </c>
    </row>
    <row r="128" spans="1:10" x14ac:dyDescent="0.25">
      <c r="A128" s="2">
        <v>42191</v>
      </c>
      <c r="B128" s="3">
        <v>124.94000200000001</v>
      </c>
      <c r="C128" s="3">
        <v>126.230003</v>
      </c>
      <c r="D128" s="3">
        <v>124.849998</v>
      </c>
      <c r="E128" s="3">
        <v>126</v>
      </c>
      <c r="F128" s="8">
        <f t="shared" si="4"/>
        <v>125.84800100000001</v>
      </c>
      <c r="G128" s="7">
        <f t="shared" si="5"/>
        <v>1.0599979999999931</v>
      </c>
      <c r="H128" s="5">
        <f>interpolation(F127,$G$7:G127,$F$6:F126,$M$7)</f>
        <v>1.6246087005167495</v>
      </c>
      <c r="I128">
        <f t="shared" si="7"/>
        <v>1.0599979999999931</v>
      </c>
      <c r="J128">
        <f t="shared" si="6"/>
        <v>1</v>
      </c>
    </row>
    <row r="129" spans="1:10" x14ac:dyDescent="0.25">
      <c r="A129" s="2">
        <v>42192</v>
      </c>
      <c r="B129" s="3">
        <v>125.889999</v>
      </c>
      <c r="C129" s="3">
        <v>126.150002</v>
      </c>
      <c r="D129" s="3">
        <v>123.769997</v>
      </c>
      <c r="E129" s="3">
        <v>125.69000200000001</v>
      </c>
      <c r="F129" s="8">
        <f t="shared" si="4"/>
        <v>125.85800046666667</v>
      </c>
      <c r="G129" s="7">
        <f t="shared" si="5"/>
        <v>-0.19999699999999621</v>
      </c>
      <c r="H129" s="5">
        <f>interpolation(F128,$G$7:G128,$F$6:F127,$M$7)</f>
        <v>0.40602113342149931</v>
      </c>
      <c r="I129">
        <f t="shared" si="7"/>
        <v>-0.19999699999999621</v>
      </c>
      <c r="J129">
        <f t="shared" si="6"/>
        <v>0</v>
      </c>
    </row>
    <row r="130" spans="1:10" x14ac:dyDescent="0.25">
      <c r="A130" s="2">
        <v>42193</v>
      </c>
      <c r="B130" s="3">
        <v>124.480003</v>
      </c>
      <c r="C130" s="3">
        <v>124.639999</v>
      </c>
      <c r="D130" s="3">
        <v>122.540001</v>
      </c>
      <c r="E130" s="3">
        <v>122.57</v>
      </c>
      <c r="F130" s="8">
        <f t="shared" si="4"/>
        <v>125.3693346</v>
      </c>
      <c r="G130" s="7">
        <f t="shared" si="5"/>
        <v>-1.9100030000000032</v>
      </c>
      <c r="H130" s="5">
        <f>interpolation(F129,$G$7:G129,$F$6:F128,$M$7)</f>
        <v>0.15921965286891715</v>
      </c>
      <c r="I130">
        <f t="shared" si="7"/>
        <v>-1.9100030000000032</v>
      </c>
      <c r="J130">
        <f t="shared" si="6"/>
        <v>0</v>
      </c>
    </row>
    <row r="131" spans="1:10" x14ac:dyDescent="0.25">
      <c r="A131" s="2">
        <v>42194</v>
      </c>
      <c r="B131" s="3">
        <v>123.849998</v>
      </c>
      <c r="C131" s="3">
        <v>124.05999799999999</v>
      </c>
      <c r="D131" s="3">
        <v>119.220001</v>
      </c>
      <c r="E131" s="3">
        <v>120.07</v>
      </c>
      <c r="F131" s="8">
        <f t="shared" si="4"/>
        <v>124.74333353333334</v>
      </c>
      <c r="G131" s="7">
        <f t="shared" si="5"/>
        <v>-3.7799980000000062</v>
      </c>
      <c r="H131" s="5">
        <f>interpolation(F130,$G$7:G130,$F$6:F129,$M$7)</f>
        <v>-0.69059924460784572</v>
      </c>
      <c r="I131">
        <f t="shared" si="7"/>
        <v>3.7799980000000062</v>
      </c>
      <c r="J131">
        <f t="shared" si="6"/>
        <v>1</v>
      </c>
    </row>
    <row r="132" spans="1:10" x14ac:dyDescent="0.25">
      <c r="A132" s="2">
        <v>42195</v>
      </c>
      <c r="B132" s="3">
        <v>121.94000200000001</v>
      </c>
      <c r="C132" s="3">
        <v>123.849998</v>
      </c>
      <c r="D132" s="3">
        <v>121.209999</v>
      </c>
      <c r="E132" s="3">
        <v>123.279999</v>
      </c>
      <c r="F132" s="8">
        <f t="shared" si="4"/>
        <v>123.68400073333332</v>
      </c>
      <c r="G132" s="7">
        <f t="shared" si="5"/>
        <v>1.3399969999999968</v>
      </c>
      <c r="H132" s="5">
        <f>interpolation(F131,$G$7:G131,$F$6:F130,$M$7)</f>
        <v>-0.317664940333032</v>
      </c>
      <c r="I132">
        <f t="shared" si="7"/>
        <v>-1.3399969999999968</v>
      </c>
      <c r="J132">
        <f t="shared" si="6"/>
        <v>0</v>
      </c>
    </row>
    <row r="133" spans="1:10" x14ac:dyDescent="0.25">
      <c r="A133" s="2">
        <v>42198</v>
      </c>
      <c r="B133" s="3">
        <v>125.029999</v>
      </c>
      <c r="C133" s="3">
        <v>125.760002</v>
      </c>
      <c r="D133" s="3">
        <v>124.32</v>
      </c>
      <c r="E133" s="3">
        <v>125.660004</v>
      </c>
      <c r="F133" s="8">
        <f t="shared" si="4"/>
        <v>123.95400013333332</v>
      </c>
      <c r="G133" s="7">
        <f t="shared" si="5"/>
        <v>0.63000499999999704</v>
      </c>
      <c r="H133" s="5">
        <f>interpolation(F132,$G$7:G132,$F$6:F131,$M$7)</f>
        <v>0.84536865117644988</v>
      </c>
      <c r="I133">
        <f t="shared" si="7"/>
        <v>0.63000499999999704</v>
      </c>
      <c r="J133">
        <f t="shared" si="6"/>
        <v>1</v>
      </c>
    </row>
    <row r="134" spans="1:10" x14ac:dyDescent="0.25">
      <c r="A134" s="2">
        <v>42199</v>
      </c>
      <c r="B134" s="3">
        <v>126.040001</v>
      </c>
      <c r="C134" s="3">
        <v>126.370003</v>
      </c>
      <c r="D134" s="3">
        <v>125.040001</v>
      </c>
      <c r="E134" s="3">
        <v>125.610001</v>
      </c>
      <c r="F134" s="8">
        <f t="shared" si="4"/>
        <v>124.5546670666667</v>
      </c>
      <c r="G134" s="7">
        <f t="shared" si="5"/>
        <v>-0.43000000000000682</v>
      </c>
      <c r="H134" s="5">
        <f>interpolation(F133,$G$7:G133,$F$6:F132,$M$7)</f>
        <v>1.0809831942397101</v>
      </c>
      <c r="I134">
        <f t="shared" si="7"/>
        <v>-0.43000000000000682</v>
      </c>
      <c r="J134">
        <f t="shared" si="6"/>
        <v>0</v>
      </c>
    </row>
    <row r="135" spans="1:10" x14ac:dyDescent="0.25">
      <c r="A135" s="2">
        <v>42200</v>
      </c>
      <c r="B135" s="3">
        <v>125.720001</v>
      </c>
      <c r="C135" s="3">
        <v>127.150002</v>
      </c>
      <c r="D135" s="3">
        <v>125.58000199999999</v>
      </c>
      <c r="E135" s="3">
        <v>126.82</v>
      </c>
      <c r="F135" s="8">
        <f t="shared" ref="F135:F198" si="8">movingAverage(B131:B135,$M$6)</f>
        <v>125.03866720000001</v>
      </c>
      <c r="G135" s="7">
        <f t="shared" ref="G135:G198" si="9">E135-B135</f>
        <v>1.0999989999999968</v>
      </c>
      <c r="H135" s="5">
        <f>interpolation(F134,$G$7:G134,$F$6:F133,$M$7)</f>
        <v>0.48502571275917172</v>
      </c>
      <c r="I135">
        <f t="shared" si="7"/>
        <v>1.0999989999999968</v>
      </c>
      <c r="J135">
        <f t="shared" si="6"/>
        <v>1</v>
      </c>
    </row>
    <row r="136" spans="1:10" x14ac:dyDescent="0.25">
      <c r="A136" s="2">
        <v>42201</v>
      </c>
      <c r="B136" s="3">
        <v>127.739998</v>
      </c>
      <c r="C136" s="3">
        <v>128.570007</v>
      </c>
      <c r="D136" s="3">
        <v>127.349998</v>
      </c>
      <c r="E136" s="3">
        <v>128.509995</v>
      </c>
      <c r="F136" s="8">
        <f t="shared" si="8"/>
        <v>126.11333313333334</v>
      </c>
      <c r="G136" s="7">
        <f t="shared" si="9"/>
        <v>0.7699970000000036</v>
      </c>
      <c r="H136" s="5">
        <f>interpolation(F135,$G$7:G135,$F$6:F134,$M$7)</f>
        <v>2.6094520534706547</v>
      </c>
      <c r="I136">
        <f t="shared" si="7"/>
        <v>0.7699970000000036</v>
      </c>
      <c r="J136">
        <f t="shared" si="6"/>
        <v>1</v>
      </c>
    </row>
    <row r="137" spans="1:10" x14ac:dyDescent="0.25">
      <c r="A137" s="2">
        <v>42202</v>
      </c>
      <c r="B137" s="3">
        <v>129.08000200000001</v>
      </c>
      <c r="C137" s="3">
        <v>129.61999499999999</v>
      </c>
      <c r="D137" s="3">
        <v>128.30999800000001</v>
      </c>
      <c r="E137" s="3">
        <v>129.61999499999999</v>
      </c>
      <c r="F137" s="8">
        <f t="shared" si="8"/>
        <v>127.37533373333333</v>
      </c>
      <c r="G137" s="7">
        <f t="shared" si="9"/>
        <v>0.53999299999998129</v>
      </c>
      <c r="H137" s="5">
        <f>interpolation(F136,$G$7:G136,$F$6:F135,$M$7)</f>
        <v>1.2766237762041264</v>
      </c>
      <c r="I137">
        <f t="shared" si="7"/>
        <v>0.53999299999998129</v>
      </c>
      <c r="J137">
        <f t="shared" ref="J137:J200" si="10">IF(I137&gt;0,1,0)</f>
        <v>1</v>
      </c>
    </row>
    <row r="138" spans="1:10" x14ac:dyDescent="0.25">
      <c r="A138" s="2">
        <v>42205</v>
      </c>
      <c r="B138" s="3">
        <v>130.970001</v>
      </c>
      <c r="C138" s="3">
        <v>132.970001</v>
      </c>
      <c r="D138" s="3">
        <v>130.699997</v>
      </c>
      <c r="E138" s="3">
        <v>132.070007</v>
      </c>
      <c r="F138" s="8">
        <f t="shared" si="8"/>
        <v>128.79133399999998</v>
      </c>
      <c r="G138" s="7">
        <f t="shared" si="9"/>
        <v>1.1000060000000076</v>
      </c>
      <c r="H138" s="5">
        <f>interpolation(F137,$G$7:G137,$F$6:F136,$M$7)</f>
        <v>0.52377874828322291</v>
      </c>
      <c r="I138">
        <f t="shared" ref="I138:I201" si="11">IF(H138&gt;=0,E138-B138,B138-E138)</f>
        <v>1.1000060000000076</v>
      </c>
      <c r="J138">
        <f t="shared" si="10"/>
        <v>1</v>
      </c>
    </row>
    <row r="139" spans="1:10" x14ac:dyDescent="0.25">
      <c r="A139" s="2">
        <v>42206</v>
      </c>
      <c r="B139" s="3">
        <v>132.85000600000001</v>
      </c>
      <c r="C139" s="3">
        <v>132.91999799999999</v>
      </c>
      <c r="D139" s="3">
        <v>130.320007</v>
      </c>
      <c r="E139" s="3">
        <v>130.75</v>
      </c>
      <c r="F139" s="8">
        <f t="shared" si="8"/>
        <v>130.43800246666666</v>
      </c>
      <c r="G139" s="7">
        <f t="shared" si="9"/>
        <v>-2.1000060000000076</v>
      </c>
      <c r="H139" s="5">
        <f>interpolation(F138,$G$7:G138,$F$6:F137,$M$7)</f>
        <v>-1.732925832903172</v>
      </c>
      <c r="I139">
        <f t="shared" si="11"/>
        <v>2.1000060000000076</v>
      </c>
      <c r="J139">
        <f t="shared" si="10"/>
        <v>1</v>
      </c>
    </row>
    <row r="140" spans="1:10" x14ac:dyDescent="0.25">
      <c r="A140" s="2">
        <v>42207</v>
      </c>
      <c r="B140" s="3">
        <v>121.989998</v>
      </c>
      <c r="C140" s="3">
        <v>125.5</v>
      </c>
      <c r="D140" s="3">
        <v>121.989998</v>
      </c>
      <c r="E140" s="3">
        <v>125.220001</v>
      </c>
      <c r="F140" s="8">
        <f t="shared" si="8"/>
        <v>128.01066793333334</v>
      </c>
      <c r="G140" s="7">
        <f t="shared" si="9"/>
        <v>3.2300029999999964</v>
      </c>
      <c r="H140" s="5">
        <f>interpolation(F139,$G$7:G139,$F$6:F138,$M$7)</f>
        <v>-0.7535182784565827</v>
      </c>
      <c r="I140">
        <f t="shared" si="11"/>
        <v>-3.2300029999999964</v>
      </c>
      <c r="J140">
        <f t="shared" si="10"/>
        <v>0</v>
      </c>
    </row>
    <row r="141" spans="1:10" x14ac:dyDescent="0.25">
      <c r="A141" s="2">
        <v>42208</v>
      </c>
      <c r="B141" s="3">
        <v>126.199997</v>
      </c>
      <c r="C141" s="3">
        <v>127.089996</v>
      </c>
      <c r="D141" s="3">
        <v>125.05999799999999</v>
      </c>
      <c r="E141" s="3">
        <v>125.160004</v>
      </c>
      <c r="F141" s="8">
        <f t="shared" si="8"/>
        <v>127.23533326666666</v>
      </c>
      <c r="G141" s="7">
        <f t="shared" si="9"/>
        <v>-1.0399929999999955</v>
      </c>
      <c r="H141" s="5">
        <f>interpolation(F140,$G$7:G140,$F$6:F139,$M$7)</f>
        <v>-0.6035271693714348</v>
      </c>
      <c r="I141">
        <f t="shared" si="11"/>
        <v>1.0399929999999955</v>
      </c>
      <c r="J141">
        <f t="shared" si="10"/>
        <v>1</v>
      </c>
    </row>
    <row r="142" spans="1:10" x14ac:dyDescent="0.25">
      <c r="A142" s="2">
        <v>42209</v>
      </c>
      <c r="B142" s="3">
        <v>125.32</v>
      </c>
      <c r="C142" s="3">
        <v>125.739998</v>
      </c>
      <c r="D142" s="3">
        <v>123.900002</v>
      </c>
      <c r="E142" s="3">
        <v>124.5</v>
      </c>
      <c r="F142" s="8">
        <f t="shared" si="8"/>
        <v>126.26933299999999</v>
      </c>
      <c r="G142" s="7">
        <f t="shared" si="9"/>
        <v>-0.81999999999999318</v>
      </c>
      <c r="H142" s="5">
        <f>interpolation(F141,$G$7:G141,$F$6:F140,$M$7)</f>
        <v>-1.1027047143293793</v>
      </c>
      <c r="I142">
        <f t="shared" si="11"/>
        <v>0.81999999999999318</v>
      </c>
      <c r="J142">
        <f t="shared" si="10"/>
        <v>1</v>
      </c>
    </row>
    <row r="143" spans="1:10" x14ac:dyDescent="0.25">
      <c r="A143" s="2">
        <v>42212</v>
      </c>
      <c r="B143" s="3">
        <v>123.089996</v>
      </c>
      <c r="C143" s="3">
        <v>123.610001</v>
      </c>
      <c r="D143" s="3">
        <v>122.120003</v>
      </c>
      <c r="E143" s="3">
        <v>122.769997</v>
      </c>
      <c r="F143" s="8">
        <f t="shared" si="8"/>
        <v>124.81066486666666</v>
      </c>
      <c r="G143" s="7">
        <f t="shared" si="9"/>
        <v>-0.3199989999999957</v>
      </c>
      <c r="H143" s="5">
        <f>interpolation(F142,$G$7:G142,$F$6:F141,$M$7)</f>
        <v>0.81817906857493694</v>
      </c>
      <c r="I143">
        <f t="shared" si="11"/>
        <v>-0.3199989999999957</v>
      </c>
      <c r="J143">
        <f t="shared" si="10"/>
        <v>0</v>
      </c>
    </row>
    <row r="144" spans="1:10" x14ac:dyDescent="0.25">
      <c r="A144" s="2">
        <v>42213</v>
      </c>
      <c r="B144" s="3">
        <v>123.379997</v>
      </c>
      <c r="C144" s="3">
        <v>123.910004</v>
      </c>
      <c r="D144" s="3">
        <v>122.550003</v>
      </c>
      <c r="E144" s="3">
        <v>123.379997</v>
      </c>
      <c r="F144" s="8">
        <f t="shared" si="8"/>
        <v>123.97399739999999</v>
      </c>
      <c r="G144" s="7">
        <f t="shared" si="9"/>
        <v>0</v>
      </c>
      <c r="H144" s="5">
        <f>interpolation(F143,$G$7:G143,$F$6:F142,$M$7)</f>
        <v>-0.17893905016214248</v>
      </c>
      <c r="I144">
        <f t="shared" si="11"/>
        <v>0</v>
      </c>
      <c r="J144">
        <f t="shared" si="10"/>
        <v>0</v>
      </c>
    </row>
    <row r="145" spans="1:10" x14ac:dyDescent="0.25">
      <c r="A145" s="2">
        <v>42214</v>
      </c>
      <c r="B145" s="3">
        <v>123.150002</v>
      </c>
      <c r="C145" s="3">
        <v>123.5</v>
      </c>
      <c r="D145" s="3">
        <v>122.269997</v>
      </c>
      <c r="E145" s="3">
        <v>122.989998</v>
      </c>
      <c r="F145" s="8">
        <f t="shared" si="8"/>
        <v>123.69199886666667</v>
      </c>
      <c r="G145" s="7">
        <f t="shared" si="9"/>
        <v>-0.1600040000000007</v>
      </c>
      <c r="H145" s="5">
        <f>interpolation(F144,$G$7:G144,$F$6:F143,$M$7)</f>
        <v>0.45857566862875149</v>
      </c>
      <c r="I145">
        <f t="shared" si="11"/>
        <v>-0.1600040000000007</v>
      </c>
      <c r="J145">
        <f t="shared" si="10"/>
        <v>0</v>
      </c>
    </row>
    <row r="146" spans="1:10" x14ac:dyDescent="0.25">
      <c r="A146" s="2">
        <v>42215</v>
      </c>
      <c r="B146" s="3">
        <v>122.32</v>
      </c>
      <c r="C146" s="3">
        <v>122.57</v>
      </c>
      <c r="D146" s="3">
        <v>121.709999</v>
      </c>
      <c r="E146" s="3">
        <v>122.370003</v>
      </c>
      <c r="F146" s="8">
        <f t="shared" si="8"/>
        <v>123.05599939999999</v>
      </c>
      <c r="G146" s="7">
        <f t="shared" si="9"/>
        <v>5.0003000000003794E-2</v>
      </c>
      <c r="H146" s="5">
        <f>interpolation(F145,$G$7:G145,$F$6:F144,$M$7)</f>
        <v>0.59860470309558811</v>
      </c>
      <c r="I146">
        <f t="shared" si="11"/>
        <v>5.0003000000003794E-2</v>
      </c>
      <c r="J146">
        <f t="shared" si="10"/>
        <v>1</v>
      </c>
    </row>
    <row r="147" spans="1:10" x14ac:dyDescent="0.25">
      <c r="A147" s="2">
        <v>42216</v>
      </c>
      <c r="B147" s="3">
        <v>122.599998</v>
      </c>
      <c r="C147" s="3">
        <v>122.639999</v>
      </c>
      <c r="D147" s="3">
        <v>120.910004</v>
      </c>
      <c r="E147" s="3">
        <v>121.300003</v>
      </c>
      <c r="F147" s="8">
        <f t="shared" si="8"/>
        <v>122.77199906666667</v>
      </c>
      <c r="G147" s="7">
        <f t="shared" si="9"/>
        <v>-1.2999949999999956</v>
      </c>
      <c r="H147" s="5">
        <f>interpolation(F146,$G$7:G146,$F$6:F145,$M$7)</f>
        <v>0.14885926961268794</v>
      </c>
      <c r="I147">
        <f t="shared" si="11"/>
        <v>-1.2999949999999956</v>
      </c>
      <c r="J147">
        <f t="shared" si="10"/>
        <v>0</v>
      </c>
    </row>
    <row r="148" spans="1:10" x14ac:dyDescent="0.25">
      <c r="A148" s="2">
        <v>42219</v>
      </c>
      <c r="B148" s="3">
        <v>121.5</v>
      </c>
      <c r="C148" s="3">
        <v>122.57</v>
      </c>
      <c r="D148" s="3">
        <v>117.519997</v>
      </c>
      <c r="E148" s="3">
        <v>118.44000200000001</v>
      </c>
      <c r="F148" s="8">
        <f t="shared" si="8"/>
        <v>122.30266619999999</v>
      </c>
      <c r="G148" s="7">
        <f t="shared" si="9"/>
        <v>-3.0599979999999931</v>
      </c>
      <c r="H148" s="5">
        <f>interpolation(F147,$G$7:G147,$F$6:F146,$M$7)</f>
        <v>-0.61390627341578152</v>
      </c>
      <c r="I148">
        <f t="shared" si="11"/>
        <v>3.0599979999999931</v>
      </c>
      <c r="J148">
        <f t="shared" si="10"/>
        <v>1</v>
      </c>
    </row>
    <row r="149" spans="1:10" x14ac:dyDescent="0.25">
      <c r="A149" s="2">
        <v>42220</v>
      </c>
      <c r="B149" s="3">
        <v>117.41999800000001</v>
      </c>
      <c r="C149" s="3">
        <v>117.699997</v>
      </c>
      <c r="D149" s="3">
        <v>113.25</v>
      </c>
      <c r="E149" s="3">
        <v>114.639999</v>
      </c>
      <c r="F149" s="8">
        <f t="shared" si="8"/>
        <v>120.57933239999998</v>
      </c>
      <c r="G149" s="7">
        <f t="shared" si="9"/>
        <v>-2.7799990000000037</v>
      </c>
      <c r="H149" s="5">
        <f>interpolation(F148,$G$7:G148,$F$6:F147,$M$7)</f>
        <v>-0.10677557328888916</v>
      </c>
      <c r="I149">
        <f t="shared" si="11"/>
        <v>2.7799990000000037</v>
      </c>
      <c r="J149">
        <f t="shared" si="10"/>
        <v>1</v>
      </c>
    </row>
    <row r="150" spans="1:10" x14ac:dyDescent="0.25">
      <c r="A150" s="2">
        <v>42221</v>
      </c>
      <c r="B150" s="3">
        <v>112.949997</v>
      </c>
      <c r="C150" s="3">
        <v>117.44000200000001</v>
      </c>
      <c r="D150" s="3">
        <v>112.099998</v>
      </c>
      <c r="E150" s="3">
        <v>115.400002</v>
      </c>
      <c r="F150" s="8">
        <f t="shared" si="8"/>
        <v>117.76333153333333</v>
      </c>
      <c r="G150" s="7">
        <f t="shared" si="9"/>
        <v>2.4500050000000044</v>
      </c>
      <c r="H150" s="5">
        <f>interpolation(F149,$G$7:G149,$F$6:F148,$M$7)</f>
        <v>0.55976499383060185</v>
      </c>
      <c r="I150">
        <f t="shared" si="11"/>
        <v>2.4500050000000044</v>
      </c>
      <c r="J150">
        <f t="shared" si="10"/>
        <v>1</v>
      </c>
    </row>
    <row r="151" spans="1:10" x14ac:dyDescent="0.25">
      <c r="A151" s="2">
        <v>42222</v>
      </c>
      <c r="B151" s="3">
        <v>115.970001</v>
      </c>
      <c r="C151" s="3">
        <v>116.5</v>
      </c>
      <c r="D151" s="3">
        <v>114.120003</v>
      </c>
      <c r="E151" s="3">
        <v>115.129997</v>
      </c>
      <c r="F151" s="8">
        <f t="shared" si="8"/>
        <v>116.63399899999999</v>
      </c>
      <c r="G151" s="7">
        <f t="shared" si="9"/>
        <v>-0.84000399999999331</v>
      </c>
      <c r="H151" s="5">
        <f>interpolation(F150,$G$7:G150,$F$6:F149,$M$7)</f>
        <v>0.71028484505865719</v>
      </c>
      <c r="I151">
        <f t="shared" si="11"/>
        <v>-0.84000399999999331</v>
      </c>
      <c r="J151">
        <f t="shared" si="10"/>
        <v>0</v>
      </c>
    </row>
    <row r="152" spans="1:10" x14ac:dyDescent="0.25">
      <c r="A152" s="2">
        <v>42223</v>
      </c>
      <c r="B152" s="3">
        <v>114.58000199999999</v>
      </c>
      <c r="C152" s="3">
        <v>116.25</v>
      </c>
      <c r="D152" s="3">
        <v>114.5</v>
      </c>
      <c r="E152" s="3">
        <v>115.519997</v>
      </c>
      <c r="F152" s="8">
        <f t="shared" si="8"/>
        <v>115.46466673333332</v>
      </c>
      <c r="G152" s="7">
        <f t="shared" si="9"/>
        <v>0.93999500000001035</v>
      </c>
      <c r="H152" s="5">
        <f>interpolation(F151,$G$7:G151,$F$6:F150,$M$7)</f>
        <v>0.55215847501111981</v>
      </c>
      <c r="I152">
        <f t="shared" si="11"/>
        <v>0.93999500000001035</v>
      </c>
      <c r="J152">
        <f t="shared" si="10"/>
        <v>1</v>
      </c>
    </row>
    <row r="153" spans="1:10" x14ac:dyDescent="0.25">
      <c r="A153" s="2">
        <v>42226</v>
      </c>
      <c r="B153" s="3">
        <v>116.529999</v>
      </c>
      <c r="C153" s="3">
        <v>119.989998</v>
      </c>
      <c r="D153" s="3">
        <v>116.529999</v>
      </c>
      <c r="E153" s="3">
        <v>119.720001</v>
      </c>
      <c r="F153" s="8">
        <f t="shared" si="8"/>
        <v>115.47999986666666</v>
      </c>
      <c r="G153" s="7">
        <f t="shared" si="9"/>
        <v>3.1900019999999927</v>
      </c>
      <c r="H153" s="5">
        <f>interpolation(F152,$G$7:G152,$F$6:F151,$M$7)</f>
        <v>-0.97893570980256872</v>
      </c>
      <c r="I153">
        <f t="shared" si="11"/>
        <v>-3.1900019999999927</v>
      </c>
      <c r="J153">
        <f t="shared" si="10"/>
        <v>0</v>
      </c>
    </row>
    <row r="154" spans="1:10" x14ac:dyDescent="0.25">
      <c r="A154" s="2">
        <v>42227</v>
      </c>
      <c r="B154" s="3">
        <v>117.80999799999999</v>
      </c>
      <c r="C154" s="3">
        <v>118.18</v>
      </c>
      <c r="D154" s="3">
        <v>113.33000199999999</v>
      </c>
      <c r="E154" s="3">
        <v>113.489998</v>
      </c>
      <c r="F154" s="8">
        <f t="shared" si="8"/>
        <v>116.25333273333332</v>
      </c>
      <c r="G154" s="7">
        <f t="shared" si="9"/>
        <v>-4.3199999999999932</v>
      </c>
      <c r="H154" s="5">
        <f>interpolation(F153,$G$7:G153,$F$6:F152,$M$7)</f>
        <v>3.1542276123585933</v>
      </c>
      <c r="I154">
        <f t="shared" si="11"/>
        <v>-4.3199999999999932</v>
      </c>
      <c r="J154">
        <f t="shared" si="10"/>
        <v>0</v>
      </c>
    </row>
    <row r="155" spans="1:10" x14ac:dyDescent="0.25">
      <c r="A155" s="2">
        <v>42228</v>
      </c>
      <c r="B155" s="3">
        <v>112.529999</v>
      </c>
      <c r="C155" s="3">
        <v>115.41999800000001</v>
      </c>
      <c r="D155" s="3">
        <v>109.629997</v>
      </c>
      <c r="E155" s="3">
        <v>115.239998</v>
      </c>
      <c r="F155" s="8">
        <f t="shared" si="8"/>
        <v>115.24066593333333</v>
      </c>
      <c r="G155" s="7">
        <f t="shared" si="9"/>
        <v>2.7099989999999963</v>
      </c>
      <c r="H155" s="5">
        <f>interpolation(F154,$G$7:G154,$F$6:F153,$M$7)</f>
        <v>-0.88556456777353842</v>
      </c>
      <c r="I155">
        <f t="shared" si="11"/>
        <v>-2.7099989999999963</v>
      </c>
      <c r="J155">
        <f t="shared" si="10"/>
        <v>0</v>
      </c>
    </row>
    <row r="156" spans="1:10" x14ac:dyDescent="0.25">
      <c r="A156" s="2">
        <v>42229</v>
      </c>
      <c r="B156" s="3">
        <v>116.040001</v>
      </c>
      <c r="C156" s="3">
        <v>116.400002</v>
      </c>
      <c r="D156" s="3">
        <v>114.540001</v>
      </c>
      <c r="E156" s="3">
        <v>115.150002</v>
      </c>
      <c r="F156" s="8">
        <f t="shared" si="8"/>
        <v>115.42599966666667</v>
      </c>
      <c r="G156" s="7">
        <f t="shared" si="9"/>
        <v>-0.88999900000000309</v>
      </c>
      <c r="H156" s="5">
        <f>interpolation(F155,$G$7:G155,$F$6:F154,$M$7)</f>
        <v>-1.1022295301991669</v>
      </c>
      <c r="I156">
        <f t="shared" si="11"/>
        <v>0.88999900000000309</v>
      </c>
      <c r="J156">
        <f t="shared" si="10"/>
        <v>1</v>
      </c>
    </row>
    <row r="157" spans="1:10" x14ac:dyDescent="0.25">
      <c r="A157" s="2">
        <v>42230</v>
      </c>
      <c r="B157" s="3">
        <v>114.32</v>
      </c>
      <c r="C157" s="3">
        <v>116.30999799999999</v>
      </c>
      <c r="D157" s="3">
        <v>114.010002</v>
      </c>
      <c r="E157" s="3">
        <v>115.959999</v>
      </c>
      <c r="F157" s="8">
        <f t="shared" si="8"/>
        <v>115.03333306666667</v>
      </c>
      <c r="G157" s="7">
        <f t="shared" si="9"/>
        <v>1.6399990000000031</v>
      </c>
      <c r="H157" s="5">
        <f>interpolation(F156,$G$7:G156,$F$6:F155,$M$7)</f>
        <v>2.2756218247703335</v>
      </c>
      <c r="I157">
        <f t="shared" si="11"/>
        <v>1.6399990000000031</v>
      </c>
      <c r="J157">
        <f t="shared" si="10"/>
        <v>1</v>
      </c>
    </row>
    <row r="158" spans="1:10" x14ac:dyDescent="0.25">
      <c r="A158" s="2">
        <v>42233</v>
      </c>
      <c r="B158" s="3">
        <v>116.040001</v>
      </c>
      <c r="C158" s="3">
        <v>117.650002</v>
      </c>
      <c r="D158" s="3">
        <v>115.5</v>
      </c>
      <c r="E158" s="3">
        <v>117.160004</v>
      </c>
      <c r="F158" s="8">
        <f t="shared" si="8"/>
        <v>115.23133360000001</v>
      </c>
      <c r="G158" s="7">
        <f t="shared" si="9"/>
        <v>1.120002999999997</v>
      </c>
      <c r="H158" s="5">
        <f>interpolation(F157,$G$7:G157,$F$6:F156,$M$7)</f>
        <v>-0.15587168852247882</v>
      </c>
      <c r="I158">
        <f t="shared" si="11"/>
        <v>-1.120002999999997</v>
      </c>
      <c r="J158">
        <f t="shared" si="10"/>
        <v>0</v>
      </c>
    </row>
    <row r="159" spans="1:10" x14ac:dyDescent="0.25">
      <c r="A159" s="2">
        <v>42234</v>
      </c>
      <c r="B159" s="3">
        <v>116.43</v>
      </c>
      <c r="C159" s="3">
        <v>117.44000200000001</v>
      </c>
      <c r="D159" s="3">
        <v>116.010002</v>
      </c>
      <c r="E159" s="3">
        <v>116.5</v>
      </c>
      <c r="F159" s="8">
        <f t="shared" si="8"/>
        <v>115.59200033333335</v>
      </c>
      <c r="G159" s="7">
        <f t="shared" si="9"/>
        <v>6.9999999999993179E-2</v>
      </c>
      <c r="H159" s="5">
        <f>interpolation(F158,$G$7:G158,$F$6:F157,$M$7)</f>
        <v>-0.79952608576207052</v>
      </c>
      <c r="I159">
        <f t="shared" si="11"/>
        <v>-6.9999999999993179E-2</v>
      </c>
      <c r="J159">
        <f t="shared" si="10"/>
        <v>0</v>
      </c>
    </row>
    <row r="160" spans="1:10" x14ac:dyDescent="0.25">
      <c r="A160" s="2">
        <v>42235</v>
      </c>
      <c r="B160" s="3">
        <v>116.099998</v>
      </c>
      <c r="C160" s="3">
        <v>116.519997</v>
      </c>
      <c r="D160" s="3">
        <v>114.68</v>
      </c>
      <c r="E160" s="3">
        <v>115.010002</v>
      </c>
      <c r="F160" s="8">
        <f t="shared" si="8"/>
        <v>115.93466626666667</v>
      </c>
      <c r="G160" s="7">
        <f t="shared" si="9"/>
        <v>-1.0899959999999993</v>
      </c>
      <c r="H160" s="5">
        <f>interpolation(F159,$G$7:G159,$F$6:F158,$M$7)</f>
        <v>-3.3018573571557215</v>
      </c>
      <c r="I160">
        <f t="shared" si="11"/>
        <v>1.0899959999999993</v>
      </c>
      <c r="J160">
        <f t="shared" si="10"/>
        <v>1</v>
      </c>
    </row>
    <row r="161" spans="1:10" x14ac:dyDescent="0.25">
      <c r="A161" s="2">
        <v>42236</v>
      </c>
      <c r="B161" s="3">
        <v>114.08000199999999</v>
      </c>
      <c r="C161" s="3">
        <v>114.349998</v>
      </c>
      <c r="D161" s="3">
        <v>111.629997</v>
      </c>
      <c r="E161" s="3">
        <v>112.650002</v>
      </c>
      <c r="F161" s="8">
        <f t="shared" si="8"/>
        <v>115.36600026666665</v>
      </c>
      <c r="G161" s="7">
        <f t="shared" si="9"/>
        <v>-1.4299999999999926</v>
      </c>
      <c r="H161" s="5">
        <f>interpolation(F160,$G$7:G160,$F$6:F159,$M$7)</f>
        <v>0.87895158722996081</v>
      </c>
      <c r="I161">
        <f t="shared" si="11"/>
        <v>-1.4299999999999926</v>
      </c>
      <c r="J161">
        <f t="shared" si="10"/>
        <v>0</v>
      </c>
    </row>
    <row r="162" spans="1:10" x14ac:dyDescent="0.25">
      <c r="A162" s="2">
        <v>42237</v>
      </c>
      <c r="B162" s="3">
        <v>110.43</v>
      </c>
      <c r="C162" s="3">
        <v>111.900002</v>
      </c>
      <c r="D162" s="3">
        <v>105.650002</v>
      </c>
      <c r="E162" s="3">
        <v>105.760002</v>
      </c>
      <c r="F162" s="8">
        <f t="shared" si="8"/>
        <v>113.71133353333333</v>
      </c>
      <c r="G162" s="7">
        <f t="shared" si="9"/>
        <v>-4.6699980000000068</v>
      </c>
      <c r="H162" s="5">
        <f>interpolation(F161,$G$7:G161,$F$6:F160,$M$7)</f>
        <v>0.4776872925273829</v>
      </c>
      <c r="I162">
        <f t="shared" si="11"/>
        <v>-4.6699980000000068</v>
      </c>
      <c r="J162">
        <f t="shared" si="10"/>
        <v>0</v>
      </c>
    </row>
    <row r="163" spans="1:10" x14ac:dyDescent="0.25">
      <c r="A163" s="2">
        <v>42240</v>
      </c>
      <c r="B163" s="3">
        <v>94.870002999999997</v>
      </c>
      <c r="C163" s="3">
        <v>108.800003</v>
      </c>
      <c r="D163" s="3">
        <v>92</v>
      </c>
      <c r="E163" s="3">
        <v>103.120003</v>
      </c>
      <c r="F163" s="8">
        <f t="shared" si="8"/>
        <v>107.12933446666666</v>
      </c>
      <c r="G163" s="7">
        <f t="shared" si="9"/>
        <v>8.25</v>
      </c>
      <c r="H163" s="5">
        <f>interpolation(F162,$G$7:G162,$F$6:F161,$M$7)</f>
        <v>1.2553331069333393</v>
      </c>
      <c r="I163">
        <f t="shared" si="11"/>
        <v>8.25</v>
      </c>
      <c r="J163">
        <f t="shared" si="10"/>
        <v>1</v>
      </c>
    </row>
    <row r="164" spans="1:10" x14ac:dyDescent="0.25">
      <c r="A164" s="2">
        <v>42241</v>
      </c>
      <c r="B164" s="3">
        <v>111.110001</v>
      </c>
      <c r="C164" s="3">
        <v>111.110001</v>
      </c>
      <c r="D164" s="3">
        <v>103.5</v>
      </c>
      <c r="E164" s="3">
        <v>103.739998</v>
      </c>
      <c r="F164" s="8">
        <f t="shared" si="8"/>
        <v>107.37200126666667</v>
      </c>
      <c r="G164" s="7">
        <f t="shared" si="9"/>
        <v>-7.370002999999997</v>
      </c>
      <c r="H164" s="5">
        <f>interpolation(F163,$G$7:G163,$F$6:F162,$M$7)</f>
        <v>2.1400000000000006</v>
      </c>
      <c r="I164">
        <f t="shared" si="11"/>
        <v>-7.370002999999997</v>
      </c>
      <c r="J164">
        <f t="shared" si="10"/>
        <v>0</v>
      </c>
    </row>
    <row r="165" spans="1:10" x14ac:dyDescent="0.25">
      <c r="A165" s="2">
        <v>42242</v>
      </c>
      <c r="B165" s="3">
        <v>107.089996</v>
      </c>
      <c r="C165" s="3">
        <v>109.889999</v>
      </c>
      <c r="D165" s="3">
        <v>105.050003</v>
      </c>
      <c r="E165" s="3">
        <v>109.69000200000001</v>
      </c>
      <c r="F165" s="8">
        <f t="shared" si="8"/>
        <v>106.62933300000002</v>
      </c>
      <c r="G165" s="7">
        <f t="shared" si="9"/>
        <v>2.6000060000000076</v>
      </c>
      <c r="H165" s="5">
        <f>interpolation(F164,$G$7:G164,$F$6:F163,$M$7)</f>
        <v>-5.5764009471445641</v>
      </c>
      <c r="I165">
        <f t="shared" si="11"/>
        <v>-2.6000060000000076</v>
      </c>
      <c r="J165">
        <f t="shared" si="10"/>
        <v>0</v>
      </c>
    </row>
    <row r="166" spans="1:10" x14ac:dyDescent="0.25">
      <c r="A166" s="2">
        <v>42243</v>
      </c>
      <c r="B166" s="3">
        <v>112.230003</v>
      </c>
      <c r="C166" s="3">
        <v>113.239998</v>
      </c>
      <c r="D166" s="3">
        <v>110.019997</v>
      </c>
      <c r="E166" s="3">
        <v>112.91999800000001</v>
      </c>
      <c r="F166" s="8">
        <f t="shared" si="8"/>
        <v>108.2006672</v>
      </c>
      <c r="G166" s="7">
        <f t="shared" si="9"/>
        <v>0.68999500000001035</v>
      </c>
      <c r="H166" s="5">
        <f>interpolation(F165,$G$7:G165,$F$6:F164,$M$7)</f>
        <v>-7.370002999999997</v>
      </c>
      <c r="I166">
        <f t="shared" si="11"/>
        <v>-0.68999500000001035</v>
      </c>
      <c r="J166">
        <f t="shared" si="10"/>
        <v>0</v>
      </c>
    </row>
    <row r="167" spans="1:10" x14ac:dyDescent="0.25">
      <c r="A167" s="2">
        <v>42244</v>
      </c>
      <c r="B167" s="3">
        <v>112.16999800000001</v>
      </c>
      <c r="C167" s="3">
        <v>113.30999799999999</v>
      </c>
      <c r="D167" s="3">
        <v>111.540001</v>
      </c>
      <c r="E167" s="3">
        <v>113.290001</v>
      </c>
      <c r="F167" s="8">
        <f t="shared" si="8"/>
        <v>109.87533300000001</v>
      </c>
      <c r="G167" s="7">
        <f t="shared" si="9"/>
        <v>1.120002999999997</v>
      </c>
      <c r="H167" s="5">
        <f>interpolation(F166,$G$7:G166,$F$6:F165,$M$7)</f>
        <v>2.2348790200168001</v>
      </c>
      <c r="I167">
        <f t="shared" si="11"/>
        <v>1.120002999999997</v>
      </c>
      <c r="J167">
        <f t="shared" si="10"/>
        <v>1</v>
      </c>
    </row>
    <row r="168" spans="1:10" x14ac:dyDescent="0.25">
      <c r="A168" s="2">
        <v>42247</v>
      </c>
      <c r="B168" s="3">
        <v>112.029999</v>
      </c>
      <c r="C168" s="3">
        <v>114.529999</v>
      </c>
      <c r="D168" s="3">
        <v>112</v>
      </c>
      <c r="E168" s="3">
        <v>112.760002</v>
      </c>
      <c r="F168" s="8">
        <f t="shared" si="8"/>
        <v>111.38733260000001</v>
      </c>
      <c r="G168" s="7">
        <f t="shared" si="9"/>
        <v>0.7300029999999964</v>
      </c>
      <c r="H168" s="5">
        <f>interpolation(F167,$G$7:G167,$F$6:F166,$M$7)</f>
        <v>-1.8543011547708008</v>
      </c>
      <c r="I168">
        <f t="shared" si="11"/>
        <v>-0.7300029999999964</v>
      </c>
      <c r="J168">
        <f t="shared" si="10"/>
        <v>0</v>
      </c>
    </row>
    <row r="169" spans="1:10" x14ac:dyDescent="0.25">
      <c r="A169" s="2">
        <v>42248</v>
      </c>
      <c r="B169" s="3">
        <v>110.150002</v>
      </c>
      <c r="C169" s="3">
        <v>111.879997</v>
      </c>
      <c r="D169" s="3">
        <v>107.360001</v>
      </c>
      <c r="E169" s="3">
        <v>107.720001</v>
      </c>
      <c r="F169" s="8">
        <f t="shared" si="8"/>
        <v>111.12866679999999</v>
      </c>
      <c r="G169" s="7">
        <f t="shared" si="9"/>
        <v>-2.4300010000000043</v>
      </c>
      <c r="H169" s="5">
        <f>interpolation(F168,$G$7:G168,$F$6:F167,$M$7)</f>
        <v>0.55629422530014228</v>
      </c>
      <c r="I169">
        <f t="shared" si="11"/>
        <v>-2.4300010000000043</v>
      </c>
      <c r="J169">
        <f t="shared" si="10"/>
        <v>0</v>
      </c>
    </row>
    <row r="170" spans="1:10" x14ac:dyDescent="0.25">
      <c r="A170" s="2">
        <v>42249</v>
      </c>
      <c r="B170" s="3">
        <v>110.230003</v>
      </c>
      <c r="C170" s="3">
        <v>112.339996</v>
      </c>
      <c r="D170" s="3">
        <v>109.129997</v>
      </c>
      <c r="E170" s="3">
        <v>112.339996</v>
      </c>
      <c r="F170" s="8">
        <f t="shared" si="8"/>
        <v>110.96066793333334</v>
      </c>
      <c r="G170" s="7">
        <f t="shared" si="9"/>
        <v>2.1099930000000029</v>
      </c>
      <c r="H170" s="5">
        <f>interpolation(F169,$G$7:G169,$F$6:F168,$M$7)</f>
        <v>-2.8169677357332294</v>
      </c>
      <c r="I170">
        <f t="shared" si="11"/>
        <v>-2.1099930000000029</v>
      </c>
      <c r="J170">
        <f t="shared" si="10"/>
        <v>0</v>
      </c>
    </row>
    <row r="171" spans="1:10" x14ac:dyDescent="0.25">
      <c r="A171" s="2">
        <v>42250</v>
      </c>
      <c r="B171" s="3">
        <v>112.489998</v>
      </c>
      <c r="C171" s="3">
        <v>112.779999</v>
      </c>
      <c r="D171" s="3">
        <v>110.040001</v>
      </c>
      <c r="E171" s="3">
        <v>110.370003</v>
      </c>
      <c r="F171" s="8">
        <f t="shared" si="8"/>
        <v>111.33666693333335</v>
      </c>
      <c r="G171" s="7">
        <f t="shared" si="9"/>
        <v>-2.119995000000003</v>
      </c>
      <c r="H171" s="5">
        <f>interpolation(F170,$G$7:G170,$F$6:F169,$M$7)</f>
        <v>-1.5522811156655181</v>
      </c>
      <c r="I171">
        <f t="shared" si="11"/>
        <v>2.119995000000003</v>
      </c>
      <c r="J171">
        <f t="shared" si="10"/>
        <v>1</v>
      </c>
    </row>
    <row r="172" spans="1:10" x14ac:dyDescent="0.25">
      <c r="A172" s="2">
        <v>42251</v>
      </c>
      <c r="B172" s="3">
        <v>108.970001</v>
      </c>
      <c r="C172" s="3">
        <v>110.449997</v>
      </c>
      <c r="D172" s="3">
        <v>108.510002</v>
      </c>
      <c r="E172" s="3">
        <v>109.269997</v>
      </c>
      <c r="F172" s="8">
        <f t="shared" si="8"/>
        <v>110.5220006</v>
      </c>
      <c r="G172" s="7">
        <f t="shared" si="9"/>
        <v>0.29999600000000726</v>
      </c>
      <c r="H172" s="5">
        <f>interpolation(F171,$G$7:G171,$F$6:F170,$M$7)</f>
        <v>-1.5407383967775379</v>
      </c>
      <c r="I172">
        <f t="shared" si="11"/>
        <v>-0.29999600000000726</v>
      </c>
      <c r="J172">
        <f t="shared" si="10"/>
        <v>0</v>
      </c>
    </row>
    <row r="173" spans="1:10" x14ac:dyDescent="0.25">
      <c r="A173" s="2">
        <v>42255</v>
      </c>
      <c r="B173" s="3">
        <v>111.75</v>
      </c>
      <c r="C173" s="3">
        <v>112.55999799999999</v>
      </c>
      <c r="D173" s="3">
        <v>110.32</v>
      </c>
      <c r="E173" s="3">
        <v>112.30999799999999</v>
      </c>
      <c r="F173" s="8">
        <f t="shared" si="8"/>
        <v>110.84733373333331</v>
      </c>
      <c r="G173" s="7">
        <f t="shared" si="9"/>
        <v>0.55999799999999311</v>
      </c>
      <c r="H173" s="5">
        <f>interpolation(F172,$G$7:G172,$F$6:F171,$M$7)</f>
        <v>-1.0084903391376709</v>
      </c>
      <c r="I173">
        <f t="shared" si="11"/>
        <v>-0.55999799999999311</v>
      </c>
      <c r="J173">
        <f t="shared" si="10"/>
        <v>0</v>
      </c>
    </row>
    <row r="174" spans="1:10" x14ac:dyDescent="0.25">
      <c r="A174" s="2">
        <v>42256</v>
      </c>
      <c r="B174" s="3">
        <v>113.760002</v>
      </c>
      <c r="C174" s="3">
        <v>114.019997</v>
      </c>
      <c r="D174" s="3">
        <v>109.769997</v>
      </c>
      <c r="E174" s="3">
        <v>110.150002</v>
      </c>
      <c r="F174" s="8">
        <f t="shared" si="8"/>
        <v>111.86133413333333</v>
      </c>
      <c r="G174" s="7">
        <f t="shared" si="9"/>
        <v>-3.6099999999999994</v>
      </c>
      <c r="H174" s="5">
        <f>interpolation(F173,$G$7:G173,$F$6:F172,$M$7)</f>
        <v>-2.0141113986434798</v>
      </c>
      <c r="I174">
        <f t="shared" si="11"/>
        <v>3.6099999999999994</v>
      </c>
      <c r="J174">
        <f t="shared" si="10"/>
        <v>1</v>
      </c>
    </row>
    <row r="175" spans="1:10" x14ac:dyDescent="0.25">
      <c r="A175" s="2">
        <v>42257</v>
      </c>
      <c r="B175" s="3">
        <v>110.269997</v>
      </c>
      <c r="C175" s="3">
        <v>113.279999</v>
      </c>
      <c r="D175" s="3">
        <v>109.900002</v>
      </c>
      <c r="E175" s="3">
        <v>112.57</v>
      </c>
      <c r="F175" s="8">
        <f t="shared" si="8"/>
        <v>111.47133286666667</v>
      </c>
      <c r="G175" s="7">
        <f t="shared" si="9"/>
        <v>2.3000029999999896</v>
      </c>
      <c r="H175" s="5">
        <f>interpolation(F174,$G$7:G174,$F$6:F173,$M$7)</f>
        <v>-2.9070782810738938</v>
      </c>
      <c r="I175">
        <f t="shared" si="11"/>
        <v>-2.3000029999999896</v>
      </c>
      <c r="J175">
        <f t="shared" si="10"/>
        <v>0</v>
      </c>
    </row>
    <row r="176" spans="1:10" x14ac:dyDescent="0.25">
      <c r="A176" s="2">
        <v>42258</v>
      </c>
      <c r="B176" s="3">
        <v>111.790001</v>
      </c>
      <c r="C176" s="3">
        <v>114.209999</v>
      </c>
      <c r="D176" s="3">
        <v>111.760002</v>
      </c>
      <c r="E176" s="3">
        <v>114.209999</v>
      </c>
      <c r="F176" s="8">
        <f t="shared" si="8"/>
        <v>111.58533333333335</v>
      </c>
      <c r="G176" s="7">
        <f t="shared" si="9"/>
        <v>2.4199979999999925</v>
      </c>
      <c r="H176" s="5">
        <f>interpolation(F175,$G$7:G175,$F$6:F174,$M$7)</f>
        <v>-0.31312529745578982</v>
      </c>
      <c r="I176">
        <f t="shared" si="11"/>
        <v>-2.4199979999999925</v>
      </c>
      <c r="J176">
        <f t="shared" si="10"/>
        <v>0</v>
      </c>
    </row>
    <row r="177" spans="1:10" x14ac:dyDescent="0.25">
      <c r="A177" s="2">
        <v>42261</v>
      </c>
      <c r="B177" s="3">
        <v>116.58000199999999</v>
      </c>
      <c r="C177" s="3">
        <v>116.889999</v>
      </c>
      <c r="D177" s="3">
        <v>114.860001</v>
      </c>
      <c r="E177" s="3">
        <v>115.30999799999999</v>
      </c>
      <c r="F177" s="8">
        <f t="shared" si="8"/>
        <v>113.34266726666668</v>
      </c>
      <c r="G177" s="7">
        <f t="shared" si="9"/>
        <v>-1.2700040000000001</v>
      </c>
      <c r="H177" s="5">
        <f>interpolation(F176,$G$7:G176,$F$6:F175,$M$7)</f>
        <v>-1.7276675453844617</v>
      </c>
      <c r="I177">
        <f t="shared" si="11"/>
        <v>1.2700040000000001</v>
      </c>
      <c r="J177">
        <f t="shared" si="10"/>
        <v>1</v>
      </c>
    </row>
    <row r="178" spans="1:10" x14ac:dyDescent="0.25">
      <c r="A178" s="2">
        <v>42262</v>
      </c>
      <c r="B178" s="3">
        <v>115.93</v>
      </c>
      <c r="C178" s="3">
        <v>116.529999</v>
      </c>
      <c r="D178" s="3">
        <v>114.41999800000001</v>
      </c>
      <c r="E178" s="3">
        <v>116.279999</v>
      </c>
      <c r="F178" s="8">
        <f t="shared" si="8"/>
        <v>114.37600046666667</v>
      </c>
      <c r="G178" s="7">
        <f t="shared" si="9"/>
        <v>0.34999899999999684</v>
      </c>
      <c r="H178" s="5">
        <f>interpolation(F177,$G$7:G177,$F$6:F176,$M$7)</f>
        <v>5.6217624937323905</v>
      </c>
      <c r="I178">
        <f t="shared" si="11"/>
        <v>0.34999899999999684</v>
      </c>
      <c r="J178">
        <f t="shared" si="10"/>
        <v>1</v>
      </c>
    </row>
    <row r="179" spans="1:10" x14ac:dyDescent="0.25">
      <c r="A179" s="2">
        <v>42263</v>
      </c>
      <c r="B179" s="3">
        <v>116.25</v>
      </c>
      <c r="C179" s="3">
        <v>116.540001</v>
      </c>
      <c r="D179" s="3">
        <v>115.44000200000001</v>
      </c>
      <c r="E179" s="3">
        <v>116.410004</v>
      </c>
      <c r="F179" s="8">
        <f t="shared" si="8"/>
        <v>115.23733366666667</v>
      </c>
      <c r="G179" s="7">
        <f t="shared" si="9"/>
        <v>0.1600040000000007</v>
      </c>
      <c r="H179" s="5">
        <f>interpolation(F178,$G$7:G178,$F$6:F177,$M$7)</f>
        <v>2.3620696923966551</v>
      </c>
      <c r="I179">
        <f t="shared" si="11"/>
        <v>0.1600040000000007</v>
      </c>
      <c r="J179">
        <f t="shared" si="10"/>
        <v>1</v>
      </c>
    </row>
    <row r="180" spans="1:10" x14ac:dyDescent="0.25">
      <c r="A180" s="2">
        <v>42264</v>
      </c>
      <c r="B180" s="3">
        <v>115.660004</v>
      </c>
      <c r="C180" s="3">
        <v>116.489998</v>
      </c>
      <c r="D180" s="3">
        <v>113.720001</v>
      </c>
      <c r="E180" s="3">
        <v>113.91999800000001</v>
      </c>
      <c r="F180" s="8">
        <f t="shared" si="8"/>
        <v>115.73600166666668</v>
      </c>
      <c r="G180" s="7">
        <f t="shared" si="9"/>
        <v>-1.7400059999999939</v>
      </c>
      <c r="H180" s="5">
        <f>interpolation(F179,$G$7:G179,$F$6:F178,$M$7)</f>
        <v>-0.54721520162169401</v>
      </c>
      <c r="I180">
        <f t="shared" si="11"/>
        <v>1.7400059999999939</v>
      </c>
      <c r="J180">
        <f t="shared" si="10"/>
        <v>1</v>
      </c>
    </row>
    <row r="181" spans="1:10" x14ac:dyDescent="0.25">
      <c r="A181" s="2">
        <v>42265</v>
      </c>
      <c r="B181" s="3">
        <v>112.209999</v>
      </c>
      <c r="C181" s="3">
        <v>114.300003</v>
      </c>
      <c r="D181" s="3">
        <v>111.870003</v>
      </c>
      <c r="E181" s="3">
        <v>113.449997</v>
      </c>
      <c r="F181" s="8">
        <f t="shared" si="8"/>
        <v>114.72533419999999</v>
      </c>
      <c r="G181" s="7">
        <f t="shared" si="9"/>
        <v>1.2399979999999999</v>
      </c>
      <c r="H181" s="5">
        <f>interpolation(F180,$G$7:G180,$F$6:F179,$M$7)</f>
        <v>-1.2328786871185944</v>
      </c>
      <c r="I181">
        <f t="shared" si="11"/>
        <v>-1.2399979999999999</v>
      </c>
      <c r="J181">
        <f t="shared" si="10"/>
        <v>0</v>
      </c>
    </row>
    <row r="182" spans="1:10" x14ac:dyDescent="0.25">
      <c r="A182" s="2">
        <v>42268</v>
      </c>
      <c r="B182" s="3">
        <v>113.66999800000001</v>
      </c>
      <c r="C182" s="3">
        <v>115.370003</v>
      </c>
      <c r="D182" s="3">
        <v>113.660004</v>
      </c>
      <c r="E182" s="3">
        <v>115.209999</v>
      </c>
      <c r="F182" s="8">
        <f t="shared" si="8"/>
        <v>114.17333320000002</v>
      </c>
      <c r="G182" s="7">
        <f t="shared" si="9"/>
        <v>1.5400009999999895</v>
      </c>
      <c r="H182" s="5">
        <f>interpolation(F181,$G$7:G181,$F$6:F180,$M$7)</f>
        <v>0.67018717768851777</v>
      </c>
      <c r="I182">
        <f t="shared" si="11"/>
        <v>1.5400009999999895</v>
      </c>
      <c r="J182">
        <f t="shared" si="10"/>
        <v>1</v>
      </c>
    </row>
    <row r="183" spans="1:10" x14ac:dyDescent="0.25">
      <c r="A183" s="2">
        <v>42269</v>
      </c>
      <c r="B183" s="3">
        <v>113.379997</v>
      </c>
      <c r="C183" s="3">
        <v>114.18</v>
      </c>
      <c r="D183" s="3">
        <v>112.519997</v>
      </c>
      <c r="E183" s="3">
        <v>113.400002</v>
      </c>
      <c r="F183" s="8">
        <f t="shared" si="8"/>
        <v>113.71866546666666</v>
      </c>
      <c r="G183" s="7">
        <f t="shared" si="9"/>
        <v>2.0004999999997608E-2</v>
      </c>
      <c r="H183" s="5">
        <f>interpolation(F182,$G$7:G182,$F$6:F181,$M$7)</f>
        <v>3.4814111363902538</v>
      </c>
      <c r="I183">
        <f t="shared" si="11"/>
        <v>2.0004999999997608E-2</v>
      </c>
      <c r="J183">
        <f t="shared" si="10"/>
        <v>1</v>
      </c>
    </row>
    <row r="184" spans="1:10" x14ac:dyDescent="0.25">
      <c r="A184" s="2">
        <v>42270</v>
      </c>
      <c r="B184" s="3">
        <v>113.629997</v>
      </c>
      <c r="C184" s="3">
        <v>114.720001</v>
      </c>
      <c r="D184" s="3">
        <v>113.300003</v>
      </c>
      <c r="E184" s="3">
        <v>114.32</v>
      </c>
      <c r="F184" s="8">
        <f t="shared" si="8"/>
        <v>113.51733126666666</v>
      </c>
      <c r="G184" s="7">
        <f t="shared" si="9"/>
        <v>0.69000299999999015</v>
      </c>
      <c r="H184" s="5">
        <f>interpolation(F183,$G$7:G183,$F$6:F182,$M$7)</f>
        <v>8.1193900038737503</v>
      </c>
      <c r="I184">
        <f t="shared" si="11"/>
        <v>0.69000299999999015</v>
      </c>
      <c r="J184">
        <f t="shared" si="10"/>
        <v>1</v>
      </c>
    </row>
    <row r="185" spans="1:10" x14ac:dyDescent="0.25">
      <c r="A185" s="2">
        <v>42271</v>
      </c>
      <c r="B185" s="3">
        <v>113.25</v>
      </c>
      <c r="C185" s="3">
        <v>115.5</v>
      </c>
      <c r="D185" s="3">
        <v>112.370003</v>
      </c>
      <c r="E185" s="3">
        <v>115</v>
      </c>
      <c r="F185" s="8">
        <f t="shared" si="8"/>
        <v>113.36399826666667</v>
      </c>
      <c r="G185" s="7">
        <f t="shared" si="9"/>
        <v>1.75</v>
      </c>
      <c r="H185" s="5">
        <f>interpolation(F184,$G$7:G184,$F$6:F183,$M$7)</f>
        <v>4.0928035346809333</v>
      </c>
      <c r="I185">
        <f t="shared" si="11"/>
        <v>1.75</v>
      </c>
      <c r="J185">
        <f t="shared" si="10"/>
        <v>1</v>
      </c>
    </row>
    <row r="186" spans="1:10" x14ac:dyDescent="0.25">
      <c r="A186" s="2">
        <v>42272</v>
      </c>
      <c r="B186" s="3">
        <v>116.44000200000001</v>
      </c>
      <c r="C186" s="3">
        <v>116.69000200000001</v>
      </c>
      <c r="D186" s="3">
        <v>114.019997</v>
      </c>
      <c r="E186" s="3">
        <v>114.709999</v>
      </c>
      <c r="F186" s="8">
        <f t="shared" si="8"/>
        <v>114.43466620000001</v>
      </c>
      <c r="G186" s="7">
        <f t="shared" si="9"/>
        <v>-1.7300030000000106</v>
      </c>
      <c r="H186" s="5">
        <f>interpolation(F185,$G$7:G185,$F$6:F184,$M$7)</f>
        <v>0.52097539657278114</v>
      </c>
      <c r="I186">
        <f t="shared" si="11"/>
        <v>-1.7300030000000106</v>
      </c>
      <c r="J186">
        <f t="shared" si="10"/>
        <v>0</v>
      </c>
    </row>
    <row r="187" spans="1:10" x14ac:dyDescent="0.25">
      <c r="A187" s="2">
        <v>42275</v>
      </c>
      <c r="B187" s="3">
        <v>113.849998</v>
      </c>
      <c r="C187" s="3">
        <v>114.57</v>
      </c>
      <c r="D187" s="3">
        <v>112.44000200000001</v>
      </c>
      <c r="E187" s="3">
        <v>112.44000200000001</v>
      </c>
      <c r="F187" s="8">
        <f t="shared" si="8"/>
        <v>114.35999926666666</v>
      </c>
      <c r="G187" s="7">
        <f t="shared" si="9"/>
        <v>-1.4099959999999925</v>
      </c>
      <c r="H187" s="5">
        <f>interpolation(F186,$G$7:G186,$F$6:F185,$M$7)</f>
        <v>0.3917552689951509</v>
      </c>
      <c r="I187">
        <f t="shared" si="11"/>
        <v>-1.4099959999999925</v>
      </c>
      <c r="J187">
        <f t="shared" si="10"/>
        <v>0</v>
      </c>
    </row>
    <row r="188" spans="1:10" x14ac:dyDescent="0.25">
      <c r="A188" s="2">
        <v>42276</v>
      </c>
      <c r="B188" s="3">
        <v>112.83000199999999</v>
      </c>
      <c r="C188" s="3">
        <v>113.510002</v>
      </c>
      <c r="D188" s="3">
        <v>107.860001</v>
      </c>
      <c r="E188" s="3">
        <v>109.05999799999999</v>
      </c>
      <c r="F188" s="8">
        <f t="shared" si="8"/>
        <v>113.93333366666666</v>
      </c>
      <c r="G188" s="7">
        <f t="shared" si="9"/>
        <v>-3.7700040000000001</v>
      </c>
      <c r="H188" s="5">
        <f>interpolation(F187,$G$7:G187,$F$6:F186,$M$7)</f>
        <v>0.49574601109124794</v>
      </c>
      <c r="I188">
        <f t="shared" si="11"/>
        <v>-3.7700040000000001</v>
      </c>
      <c r="J188">
        <f t="shared" si="10"/>
        <v>0</v>
      </c>
    </row>
    <row r="189" spans="1:10" x14ac:dyDescent="0.25">
      <c r="A189" s="2">
        <v>42277</v>
      </c>
      <c r="B189" s="3">
        <v>110.16999800000001</v>
      </c>
      <c r="C189" s="3">
        <v>111.540001</v>
      </c>
      <c r="D189" s="3">
        <v>108.730003</v>
      </c>
      <c r="E189" s="3">
        <v>110.300003</v>
      </c>
      <c r="F189" s="8">
        <f t="shared" si="8"/>
        <v>112.65666639999999</v>
      </c>
      <c r="G189" s="7">
        <f t="shared" si="9"/>
        <v>0.13000499999999704</v>
      </c>
      <c r="H189" s="5">
        <f>interpolation(F188,$G$7:G188,$F$6:F187,$M$7)</f>
        <v>0.37366811604168271</v>
      </c>
      <c r="I189">
        <f t="shared" si="11"/>
        <v>0.13000499999999704</v>
      </c>
      <c r="J189">
        <f t="shared" si="10"/>
        <v>1</v>
      </c>
    </row>
    <row r="190" spans="1:10" x14ac:dyDescent="0.25">
      <c r="A190" s="2">
        <v>42278</v>
      </c>
      <c r="B190" s="3">
        <v>109.07</v>
      </c>
      <c r="C190" s="3">
        <v>109.620003</v>
      </c>
      <c r="D190" s="3">
        <v>107.30999799999999</v>
      </c>
      <c r="E190" s="3">
        <v>109.58000199999999</v>
      </c>
      <c r="F190" s="8">
        <f t="shared" si="8"/>
        <v>111.24399973333333</v>
      </c>
      <c r="G190" s="7">
        <f t="shared" si="9"/>
        <v>0.51000200000000007</v>
      </c>
      <c r="H190" s="5">
        <f>interpolation(F189,$G$7:G189,$F$6:F188,$M$7)</f>
        <v>-1.2941832967609808</v>
      </c>
      <c r="I190">
        <f t="shared" si="11"/>
        <v>-0.51000200000000007</v>
      </c>
      <c r="J190">
        <f t="shared" si="10"/>
        <v>0</v>
      </c>
    </row>
    <row r="191" spans="1:10" x14ac:dyDescent="0.25">
      <c r="A191" s="2">
        <v>42279</v>
      </c>
      <c r="B191" s="3">
        <v>108.010002</v>
      </c>
      <c r="C191" s="3">
        <v>111.010002</v>
      </c>
      <c r="D191" s="3">
        <v>107.550003</v>
      </c>
      <c r="E191" s="3">
        <v>110.379997</v>
      </c>
      <c r="F191" s="8">
        <f t="shared" si="8"/>
        <v>109.75666706666668</v>
      </c>
      <c r="G191" s="7">
        <f t="shared" si="9"/>
        <v>2.369995000000003</v>
      </c>
      <c r="H191" s="5">
        <f>interpolation(F190,$G$7:G190,$F$6:F189,$M$7)</f>
        <v>1.1063769926969078</v>
      </c>
      <c r="I191">
        <f t="shared" si="11"/>
        <v>2.369995000000003</v>
      </c>
      <c r="J191">
        <f t="shared" si="10"/>
        <v>1</v>
      </c>
    </row>
    <row r="192" spans="1:10" x14ac:dyDescent="0.25">
      <c r="A192" s="2">
        <v>42282</v>
      </c>
      <c r="B192" s="3">
        <v>109.879997</v>
      </c>
      <c r="C192" s="3">
        <v>111.370003</v>
      </c>
      <c r="D192" s="3">
        <v>109.07</v>
      </c>
      <c r="E192" s="3">
        <v>110.779999</v>
      </c>
      <c r="F192" s="8">
        <f t="shared" si="8"/>
        <v>109.45466606666668</v>
      </c>
      <c r="G192" s="7">
        <f t="shared" si="9"/>
        <v>0.90000200000000063</v>
      </c>
      <c r="H192" s="5">
        <f>interpolation(F191,$G$7:G191,$F$6:F190,$M$7)</f>
        <v>-0.75514186403553607</v>
      </c>
      <c r="I192">
        <f t="shared" si="11"/>
        <v>-0.90000200000000063</v>
      </c>
      <c r="J192">
        <f t="shared" si="10"/>
        <v>0</v>
      </c>
    </row>
    <row r="193" spans="1:10" x14ac:dyDescent="0.25">
      <c r="A193" s="2">
        <v>42283</v>
      </c>
      <c r="B193" s="3">
        <v>110.629997</v>
      </c>
      <c r="C193" s="3">
        <v>111.739998</v>
      </c>
      <c r="D193" s="3">
        <v>109.769997</v>
      </c>
      <c r="E193" s="3">
        <v>111.30999799999999</v>
      </c>
      <c r="F193" s="8">
        <f t="shared" si="8"/>
        <v>109.66733180000001</v>
      </c>
      <c r="G193" s="7">
        <f t="shared" si="9"/>
        <v>0.68000099999999009</v>
      </c>
      <c r="H193" s="5">
        <f>interpolation(F192,$G$7:G192,$F$6:F191,$M$7)</f>
        <v>-2.2598663466397366</v>
      </c>
      <c r="I193">
        <f t="shared" si="11"/>
        <v>-0.68000099999999009</v>
      </c>
      <c r="J193">
        <f t="shared" si="10"/>
        <v>0</v>
      </c>
    </row>
    <row r="194" spans="1:10" x14ac:dyDescent="0.25">
      <c r="A194" s="2">
        <v>42284</v>
      </c>
      <c r="B194" s="3">
        <v>111.739998</v>
      </c>
      <c r="C194" s="3">
        <v>111.769997</v>
      </c>
      <c r="D194" s="3">
        <v>109.410004</v>
      </c>
      <c r="E194" s="3">
        <v>110.779999</v>
      </c>
      <c r="F194" s="8">
        <f t="shared" si="8"/>
        <v>110.39666486666668</v>
      </c>
      <c r="G194" s="7">
        <f t="shared" si="9"/>
        <v>-0.95999899999999627</v>
      </c>
      <c r="H194" s="5">
        <f>interpolation(F193,$G$7:G193,$F$6:F192,$M$7)</f>
        <v>-0.93122145265766354</v>
      </c>
      <c r="I194">
        <f t="shared" si="11"/>
        <v>0.95999899999999627</v>
      </c>
      <c r="J194">
        <f t="shared" si="10"/>
        <v>1</v>
      </c>
    </row>
    <row r="195" spans="1:10" x14ac:dyDescent="0.25">
      <c r="A195" s="2">
        <v>42285</v>
      </c>
      <c r="B195" s="3">
        <v>110.19000200000001</v>
      </c>
      <c r="C195" s="3">
        <v>110.19000200000001</v>
      </c>
      <c r="D195" s="3">
        <v>108.209999</v>
      </c>
      <c r="E195" s="3">
        <v>109.5</v>
      </c>
      <c r="F195" s="8">
        <f t="shared" si="8"/>
        <v>110.50466593333334</v>
      </c>
      <c r="G195" s="7">
        <f t="shared" si="9"/>
        <v>-0.69000200000000689</v>
      </c>
      <c r="H195" s="5">
        <f>interpolation(F194,$G$7:G194,$F$6:F193,$M$7)</f>
        <v>0.16627411430503078</v>
      </c>
      <c r="I195">
        <f t="shared" si="11"/>
        <v>-0.69000200000000689</v>
      </c>
      <c r="J195">
        <f t="shared" si="10"/>
        <v>0</v>
      </c>
    </row>
    <row r="196" spans="1:10" x14ac:dyDescent="0.25">
      <c r="A196" s="2">
        <v>42286</v>
      </c>
      <c r="B196" s="3">
        <v>110</v>
      </c>
      <c r="C196" s="3">
        <v>112.279999</v>
      </c>
      <c r="D196" s="3">
        <v>109.489998</v>
      </c>
      <c r="E196" s="3">
        <v>112.120003</v>
      </c>
      <c r="F196" s="8">
        <f t="shared" si="8"/>
        <v>110.4746662</v>
      </c>
      <c r="G196" s="7">
        <f t="shared" si="9"/>
        <v>2.120002999999997</v>
      </c>
      <c r="H196" s="5">
        <f>interpolation(F195,$G$7:G195,$F$6:F194,$M$7)</f>
        <v>0.38711567221486182</v>
      </c>
      <c r="I196">
        <f t="shared" si="11"/>
        <v>2.120002999999997</v>
      </c>
      <c r="J196">
        <f t="shared" si="10"/>
        <v>1</v>
      </c>
    </row>
    <row r="197" spans="1:10" x14ac:dyDescent="0.25">
      <c r="A197" s="2">
        <v>42289</v>
      </c>
      <c r="B197" s="3">
        <v>112.730003</v>
      </c>
      <c r="C197" s="3">
        <v>112.75</v>
      </c>
      <c r="D197" s="3">
        <v>111.44000200000001</v>
      </c>
      <c r="E197" s="3">
        <v>111.599998</v>
      </c>
      <c r="F197" s="8">
        <f t="shared" si="8"/>
        <v>111.22200093333332</v>
      </c>
      <c r="G197" s="7">
        <f t="shared" si="9"/>
        <v>-1.130004999999997</v>
      </c>
      <c r="H197" s="5">
        <f>interpolation(F196,$G$7:G196,$F$6:F195,$M$7)</f>
        <v>1.33946070289898</v>
      </c>
      <c r="I197">
        <f t="shared" si="11"/>
        <v>-1.130004999999997</v>
      </c>
      <c r="J197">
        <f t="shared" si="10"/>
        <v>0</v>
      </c>
    </row>
    <row r="198" spans="1:10" x14ac:dyDescent="0.25">
      <c r="A198" s="2">
        <v>42290</v>
      </c>
      <c r="B198" s="3">
        <v>110.82</v>
      </c>
      <c r="C198" s="3">
        <v>112.449997</v>
      </c>
      <c r="D198" s="3">
        <v>110.68</v>
      </c>
      <c r="E198" s="3">
        <v>111.790001</v>
      </c>
      <c r="F198" s="8">
        <f t="shared" si="8"/>
        <v>111.1426676</v>
      </c>
      <c r="G198" s="7">
        <f t="shared" si="9"/>
        <v>0.97000100000001055</v>
      </c>
      <c r="H198" s="5">
        <f>interpolation(F197,$G$7:G197,$F$6:F196,$M$7)</f>
        <v>2.3204017759980577</v>
      </c>
      <c r="I198">
        <f t="shared" si="11"/>
        <v>0.97000100000001055</v>
      </c>
      <c r="J198">
        <f t="shared" si="10"/>
        <v>1</v>
      </c>
    </row>
    <row r="199" spans="1:10" x14ac:dyDescent="0.25">
      <c r="A199" s="2">
        <v>42291</v>
      </c>
      <c r="B199" s="3">
        <v>111.290001</v>
      </c>
      <c r="C199" s="3">
        <v>111.519997</v>
      </c>
      <c r="D199" s="3">
        <v>109.55999799999999</v>
      </c>
      <c r="E199" s="3">
        <v>110.209999</v>
      </c>
      <c r="F199" s="8">
        <f t="shared" ref="F199:F262" si="12">movingAverage(B195:B199,$M$6)</f>
        <v>111.20733440000001</v>
      </c>
      <c r="G199" s="7">
        <f t="shared" ref="G199:G262" si="13">E199-B199</f>
        <v>-1.0800020000000075</v>
      </c>
      <c r="H199" s="5">
        <f>interpolation(F198,$G$7:G198,$F$6:F197,$M$7)</f>
        <v>1.9389858944151237</v>
      </c>
      <c r="I199">
        <f t="shared" si="11"/>
        <v>-1.0800020000000075</v>
      </c>
      <c r="J199">
        <f t="shared" si="10"/>
        <v>0</v>
      </c>
    </row>
    <row r="200" spans="1:10" x14ac:dyDescent="0.25">
      <c r="A200" s="2">
        <v>42292</v>
      </c>
      <c r="B200" s="3">
        <v>110.93</v>
      </c>
      <c r="C200" s="3">
        <v>112.099998</v>
      </c>
      <c r="D200" s="3">
        <v>110.489998</v>
      </c>
      <c r="E200" s="3">
        <v>111.860001</v>
      </c>
      <c r="F200" s="8">
        <f t="shared" si="12"/>
        <v>111.18200066666668</v>
      </c>
      <c r="G200" s="7">
        <f t="shared" si="13"/>
        <v>0.93000099999999009</v>
      </c>
      <c r="H200" s="5">
        <f>interpolation(F199,$G$7:G199,$F$6:F198,$M$7)</f>
        <v>0.59101229412320666</v>
      </c>
      <c r="I200">
        <f t="shared" si="11"/>
        <v>0.93000099999999009</v>
      </c>
      <c r="J200">
        <f t="shared" si="10"/>
        <v>1</v>
      </c>
    </row>
    <row r="201" spans="1:10" x14ac:dyDescent="0.25">
      <c r="A201" s="2">
        <v>42293</v>
      </c>
      <c r="B201" s="3">
        <v>111.779999</v>
      </c>
      <c r="C201" s="3">
        <v>112</v>
      </c>
      <c r="D201" s="3">
        <v>110.529999</v>
      </c>
      <c r="E201" s="3">
        <v>111.040001</v>
      </c>
      <c r="F201" s="8">
        <f t="shared" si="12"/>
        <v>111.39066673333333</v>
      </c>
      <c r="G201" s="7">
        <f t="shared" si="13"/>
        <v>-0.73999799999999993</v>
      </c>
      <c r="H201" s="5">
        <f>interpolation(F200,$G$7:G200,$F$6:F199,$M$7)</f>
        <v>0.14256633489863205</v>
      </c>
      <c r="I201">
        <f t="shared" si="11"/>
        <v>-0.73999799999999993</v>
      </c>
      <c r="J201">
        <f t="shared" ref="J201:J264" si="14">IF(I201&gt;0,1,0)</f>
        <v>0</v>
      </c>
    </row>
    <row r="202" spans="1:10" x14ac:dyDescent="0.25">
      <c r="A202" s="2">
        <v>42296</v>
      </c>
      <c r="B202" s="3">
        <v>110.800003</v>
      </c>
      <c r="C202" s="3">
        <v>111.75</v>
      </c>
      <c r="D202" s="3">
        <v>110.110001</v>
      </c>
      <c r="E202" s="3">
        <v>111.730003</v>
      </c>
      <c r="F202" s="8">
        <f t="shared" si="12"/>
        <v>111.15400086666668</v>
      </c>
      <c r="G202" s="7">
        <f t="shared" si="13"/>
        <v>0.92999999999999261</v>
      </c>
      <c r="H202" s="5">
        <f>interpolation(F201,$G$7:G201,$F$6:F200,$M$7)</f>
        <v>-2.0408828779618706</v>
      </c>
      <c r="I202">
        <f t="shared" ref="I202:I265" si="15">IF(H202&gt;=0,E202-B202,B202-E202)</f>
        <v>-0.92999999999999261</v>
      </c>
      <c r="J202">
        <f t="shared" si="14"/>
        <v>0</v>
      </c>
    </row>
    <row r="203" spans="1:10" x14ac:dyDescent="0.25">
      <c r="A203" s="2">
        <v>42297</v>
      </c>
      <c r="B203" s="3">
        <v>111.339996</v>
      </c>
      <c r="C203" s="3">
        <v>114.16999800000001</v>
      </c>
      <c r="D203" s="3">
        <v>110.82</v>
      </c>
      <c r="E203" s="3">
        <v>113.769997</v>
      </c>
      <c r="F203" s="8">
        <f t="shared" si="12"/>
        <v>111.22599933333335</v>
      </c>
      <c r="G203" s="7">
        <f t="shared" si="13"/>
        <v>2.4300010000000043</v>
      </c>
      <c r="H203" s="5">
        <f>interpolation(F202,$G$7:G202,$F$6:F201,$M$7)</f>
        <v>-0.98203465785522637</v>
      </c>
      <c r="I203">
        <f t="shared" si="15"/>
        <v>-2.4300010000000043</v>
      </c>
      <c r="J203">
        <f t="shared" si="14"/>
        <v>0</v>
      </c>
    </row>
    <row r="204" spans="1:10" x14ac:dyDescent="0.25">
      <c r="A204" s="2">
        <v>42298</v>
      </c>
      <c r="B204" s="3">
        <v>114</v>
      </c>
      <c r="C204" s="3">
        <v>115.58000199999999</v>
      </c>
      <c r="D204" s="3">
        <v>113.699997</v>
      </c>
      <c r="E204" s="3">
        <v>113.760002</v>
      </c>
      <c r="F204" s="8">
        <f t="shared" si="12"/>
        <v>112.1499994</v>
      </c>
      <c r="G204" s="7">
        <f t="shared" si="13"/>
        <v>-0.23999799999999993</v>
      </c>
      <c r="H204" s="5">
        <f>interpolation(F203,$G$7:G203,$F$6:F202,$M$7)</f>
        <v>1.2244574253340677</v>
      </c>
      <c r="I204">
        <f t="shared" si="15"/>
        <v>-0.23999799999999993</v>
      </c>
      <c r="J204">
        <f t="shared" si="14"/>
        <v>0</v>
      </c>
    </row>
    <row r="205" spans="1:10" x14ac:dyDescent="0.25">
      <c r="A205" s="2">
        <v>42299</v>
      </c>
      <c r="B205" s="3">
        <v>114.33000199999999</v>
      </c>
      <c r="C205" s="3">
        <v>115.5</v>
      </c>
      <c r="D205" s="3">
        <v>114.099998</v>
      </c>
      <c r="E205" s="3">
        <v>115.5</v>
      </c>
      <c r="F205" s="8">
        <f t="shared" si="12"/>
        <v>113.00333353333332</v>
      </c>
      <c r="G205" s="7">
        <f t="shared" si="13"/>
        <v>1.1699980000000068</v>
      </c>
      <c r="H205" s="5">
        <f>interpolation(F204,$G$7:G204,$F$6:F203,$M$7)</f>
        <v>-1.3305930529724608</v>
      </c>
      <c r="I205">
        <f t="shared" si="15"/>
        <v>-1.1699980000000068</v>
      </c>
      <c r="J205">
        <f t="shared" si="14"/>
        <v>0</v>
      </c>
    </row>
    <row r="206" spans="1:10" x14ac:dyDescent="0.25">
      <c r="A206" s="2">
        <v>42300</v>
      </c>
      <c r="B206" s="3">
        <v>116.699997</v>
      </c>
      <c r="C206" s="3">
        <v>119.230003</v>
      </c>
      <c r="D206" s="3">
        <v>116.33000199999999</v>
      </c>
      <c r="E206" s="3">
        <v>119.08000199999999</v>
      </c>
      <c r="F206" s="8">
        <f t="shared" si="12"/>
        <v>114.41999919999999</v>
      </c>
      <c r="G206" s="7">
        <f t="shared" si="13"/>
        <v>2.380004999999997</v>
      </c>
      <c r="H206" s="5">
        <f>interpolation(F205,$G$7:G205,$F$6:F204,$M$7)</f>
        <v>0.42914527804824215</v>
      </c>
      <c r="I206">
        <f t="shared" si="15"/>
        <v>2.380004999999997</v>
      </c>
      <c r="J206">
        <f t="shared" si="14"/>
        <v>1</v>
      </c>
    </row>
    <row r="207" spans="1:10" x14ac:dyDescent="0.25">
      <c r="A207" s="2">
        <v>42303</v>
      </c>
      <c r="B207" s="3">
        <v>118.08000199999999</v>
      </c>
      <c r="C207" s="3">
        <v>118.129997</v>
      </c>
      <c r="D207" s="3">
        <v>114.91999800000001</v>
      </c>
      <c r="E207" s="3">
        <v>115.279999</v>
      </c>
      <c r="F207" s="8">
        <f t="shared" si="12"/>
        <v>115.96866666666665</v>
      </c>
      <c r="G207" s="7">
        <f t="shared" si="13"/>
        <v>-2.8000029999999896</v>
      </c>
      <c r="H207" s="5">
        <f>interpolation(F206,$G$7:G206,$F$6:F205,$M$7)</f>
        <v>-1.0174808349856062</v>
      </c>
      <c r="I207">
        <f t="shared" si="15"/>
        <v>2.8000029999999896</v>
      </c>
      <c r="J207">
        <f t="shared" si="14"/>
        <v>1</v>
      </c>
    </row>
    <row r="208" spans="1:10" x14ac:dyDescent="0.25">
      <c r="A208" s="2">
        <v>42304</v>
      </c>
      <c r="B208" s="3">
        <v>115.400002</v>
      </c>
      <c r="C208" s="3">
        <v>116.540001</v>
      </c>
      <c r="D208" s="3">
        <v>113.989998</v>
      </c>
      <c r="E208" s="3">
        <v>114.550003</v>
      </c>
      <c r="F208" s="8">
        <f t="shared" si="12"/>
        <v>116.13866753333332</v>
      </c>
      <c r="G208" s="7">
        <f t="shared" si="13"/>
        <v>-0.84999899999999684</v>
      </c>
      <c r="H208" s="5">
        <f>interpolation(F207,$G$7:G207,$F$6:F206,$M$7)</f>
        <v>-0.98827915164109925</v>
      </c>
      <c r="I208">
        <f t="shared" si="15"/>
        <v>0.84999899999999684</v>
      </c>
      <c r="J208">
        <f t="shared" si="14"/>
        <v>1</v>
      </c>
    </row>
    <row r="209" spans="1:10" x14ac:dyDescent="0.25">
      <c r="A209" s="2">
        <v>42305</v>
      </c>
      <c r="B209" s="3">
        <v>116.93</v>
      </c>
      <c r="C209" s="3">
        <v>119.300003</v>
      </c>
      <c r="D209" s="3">
        <v>116.05999799999999</v>
      </c>
      <c r="E209" s="3">
        <v>119.269997</v>
      </c>
      <c r="F209" s="8">
        <f t="shared" si="12"/>
        <v>116.54800066666667</v>
      </c>
      <c r="G209" s="7">
        <f t="shared" si="13"/>
        <v>2.3399969999999968</v>
      </c>
      <c r="H209" s="5">
        <f>interpolation(F208,$G$7:G208,$F$6:F207,$M$7)</f>
        <v>1.276010441231586</v>
      </c>
      <c r="I209">
        <f t="shared" si="15"/>
        <v>2.3399969999999968</v>
      </c>
      <c r="J209">
        <f t="shared" si="14"/>
        <v>1</v>
      </c>
    </row>
    <row r="210" spans="1:10" x14ac:dyDescent="0.25">
      <c r="A210" s="2">
        <v>42306</v>
      </c>
      <c r="B210" s="3">
        <v>118.699997</v>
      </c>
      <c r="C210" s="3">
        <v>120.69000200000001</v>
      </c>
      <c r="D210" s="3">
        <v>118.269997</v>
      </c>
      <c r="E210" s="3">
        <v>120.529999</v>
      </c>
      <c r="F210" s="8">
        <f t="shared" si="12"/>
        <v>117.35199946666667</v>
      </c>
      <c r="G210" s="7">
        <f t="shared" si="13"/>
        <v>1.8300020000000075</v>
      </c>
      <c r="H210" s="5">
        <f>interpolation(F209,$G$7:G209,$F$6:F208,$M$7)</f>
        <v>0.80804850256703731</v>
      </c>
      <c r="I210">
        <f t="shared" si="15"/>
        <v>1.8300020000000075</v>
      </c>
      <c r="J210">
        <f t="shared" si="14"/>
        <v>1</v>
      </c>
    </row>
    <row r="211" spans="1:10" x14ac:dyDescent="0.25">
      <c r="A211" s="2">
        <v>42307</v>
      </c>
      <c r="B211" s="3">
        <v>120.989998</v>
      </c>
      <c r="C211" s="3">
        <v>121.220001</v>
      </c>
      <c r="D211" s="3">
        <v>119.449997</v>
      </c>
      <c r="E211" s="3">
        <v>119.5</v>
      </c>
      <c r="F211" s="8">
        <f t="shared" si="12"/>
        <v>118.62799893333334</v>
      </c>
      <c r="G211" s="7">
        <f t="shared" si="13"/>
        <v>-1.4899979999999999</v>
      </c>
      <c r="H211" s="5">
        <f>interpolation(F210,$G$7:G210,$F$6:F209,$M$7)</f>
        <v>0.16511276926375523</v>
      </c>
      <c r="I211">
        <f t="shared" si="15"/>
        <v>-1.4899979999999999</v>
      </c>
      <c r="J211">
        <f t="shared" si="14"/>
        <v>0</v>
      </c>
    </row>
    <row r="212" spans="1:10" x14ac:dyDescent="0.25">
      <c r="A212" s="2">
        <v>42310</v>
      </c>
      <c r="B212" s="3">
        <v>120.800003</v>
      </c>
      <c r="C212" s="3">
        <v>121.360001</v>
      </c>
      <c r="D212" s="3">
        <v>119.610001</v>
      </c>
      <c r="E212" s="3">
        <v>121.18</v>
      </c>
      <c r="F212" s="8">
        <f t="shared" si="12"/>
        <v>119.55466666666668</v>
      </c>
      <c r="G212" s="7">
        <f t="shared" si="13"/>
        <v>0.37999700000000303</v>
      </c>
      <c r="H212" s="5">
        <f>interpolation(F211,$G$7:G211,$F$6:F210,$M$7)</f>
        <v>-0.63241446353643549</v>
      </c>
      <c r="I212">
        <f t="shared" si="15"/>
        <v>-0.37999700000000303</v>
      </c>
      <c r="J212">
        <f t="shared" si="14"/>
        <v>0</v>
      </c>
    </row>
    <row r="213" spans="1:10" x14ac:dyDescent="0.25">
      <c r="A213" s="2">
        <v>42311</v>
      </c>
      <c r="B213" s="3">
        <v>120.790001</v>
      </c>
      <c r="C213" s="3">
        <v>123.489998</v>
      </c>
      <c r="D213" s="3">
        <v>120.699997</v>
      </c>
      <c r="E213" s="3">
        <v>122.57</v>
      </c>
      <c r="F213" s="8">
        <f t="shared" si="12"/>
        <v>120.29666700000001</v>
      </c>
      <c r="G213" s="7">
        <f t="shared" si="13"/>
        <v>1.7799989999999895</v>
      </c>
      <c r="H213" s="5">
        <f>interpolation(F212,$G$7:G212,$F$6:F211,$M$7)</f>
        <v>2.0037714823765902</v>
      </c>
      <c r="I213">
        <f t="shared" si="15"/>
        <v>1.7799989999999895</v>
      </c>
      <c r="J213">
        <f t="shared" si="14"/>
        <v>1</v>
      </c>
    </row>
    <row r="214" spans="1:10" x14ac:dyDescent="0.25">
      <c r="A214" s="2">
        <v>42312</v>
      </c>
      <c r="B214" s="3">
        <v>123.129997</v>
      </c>
      <c r="C214" s="3">
        <v>123.82</v>
      </c>
      <c r="D214" s="3">
        <v>121.620003</v>
      </c>
      <c r="E214" s="3">
        <v>122</v>
      </c>
      <c r="F214" s="8">
        <f t="shared" si="12"/>
        <v>121.45933273333334</v>
      </c>
      <c r="G214" s="7">
        <f t="shared" si="13"/>
        <v>-1.129997000000003</v>
      </c>
      <c r="H214" s="5">
        <f>interpolation(F213,$G$7:G213,$F$6:F212,$M$7)</f>
        <v>2.3541529497502061</v>
      </c>
      <c r="I214">
        <f t="shared" si="15"/>
        <v>-1.129997000000003</v>
      </c>
      <c r="J214">
        <f t="shared" si="14"/>
        <v>0</v>
      </c>
    </row>
    <row r="215" spans="1:10" x14ac:dyDescent="0.25">
      <c r="A215" s="2">
        <v>42313</v>
      </c>
      <c r="B215" s="3">
        <v>121.849998</v>
      </c>
      <c r="C215" s="3">
        <v>122.69000200000001</v>
      </c>
      <c r="D215" s="3">
        <v>120.18</v>
      </c>
      <c r="E215" s="3">
        <v>120.91999800000001</v>
      </c>
      <c r="F215" s="8">
        <f t="shared" si="12"/>
        <v>121.78199900000001</v>
      </c>
      <c r="G215" s="7">
        <f t="shared" si="13"/>
        <v>-0.92999999999999261</v>
      </c>
      <c r="H215" s="5">
        <f>interpolation(F214,$G$7:G214,$F$6:F213,$M$7)</f>
        <v>-1.1245677295020833</v>
      </c>
      <c r="I215">
        <f t="shared" si="15"/>
        <v>0.92999999999999261</v>
      </c>
      <c r="J215">
        <f t="shared" si="14"/>
        <v>1</v>
      </c>
    </row>
    <row r="216" spans="1:10" x14ac:dyDescent="0.25">
      <c r="A216" s="2">
        <v>42314</v>
      </c>
      <c r="B216" s="3">
        <v>121.110001</v>
      </c>
      <c r="C216" s="3">
        <v>121.80999799999999</v>
      </c>
      <c r="D216" s="3">
        <v>120.620003</v>
      </c>
      <c r="E216" s="3">
        <v>121.05999799999999</v>
      </c>
      <c r="F216" s="8">
        <f t="shared" si="12"/>
        <v>121.64799953333335</v>
      </c>
      <c r="G216" s="7">
        <f t="shared" si="13"/>
        <v>-5.0003000000003794E-2</v>
      </c>
      <c r="H216" s="5">
        <f>interpolation(F215,$G$7:G215,$F$6:F214,$M$7)</f>
        <v>-1.6378247149689231</v>
      </c>
      <c r="I216">
        <f t="shared" si="15"/>
        <v>5.0003000000003794E-2</v>
      </c>
      <c r="J216">
        <f t="shared" si="14"/>
        <v>1</v>
      </c>
    </row>
    <row r="217" spans="1:10" x14ac:dyDescent="0.25">
      <c r="A217" s="2">
        <v>42317</v>
      </c>
      <c r="B217" s="3">
        <v>120.959999</v>
      </c>
      <c r="C217" s="3">
        <v>121.80999799999999</v>
      </c>
      <c r="D217" s="3">
        <v>120.050003</v>
      </c>
      <c r="E217" s="3">
        <v>120.57</v>
      </c>
      <c r="F217" s="8">
        <f t="shared" si="12"/>
        <v>121.45599920000001</v>
      </c>
      <c r="G217" s="7">
        <f t="shared" si="13"/>
        <v>-0.38999900000000309</v>
      </c>
      <c r="H217" s="5">
        <f>interpolation(F216,$G$7:G216,$F$6:F215,$M$7)</f>
        <v>-0.41545529808630915</v>
      </c>
      <c r="I217">
        <f t="shared" si="15"/>
        <v>0.38999900000000309</v>
      </c>
      <c r="J217">
        <f t="shared" si="14"/>
        <v>1</v>
      </c>
    </row>
    <row r="218" spans="1:10" x14ac:dyDescent="0.25">
      <c r="A218" s="2">
        <v>42318</v>
      </c>
      <c r="B218" s="3">
        <v>116.900002</v>
      </c>
      <c r="C218" s="3">
        <v>118.07</v>
      </c>
      <c r="D218" s="3">
        <v>116.05999799999999</v>
      </c>
      <c r="E218" s="3">
        <v>116.769997</v>
      </c>
      <c r="F218" s="8">
        <f t="shared" si="12"/>
        <v>119.90000013333334</v>
      </c>
      <c r="G218" s="7">
        <f t="shared" si="13"/>
        <v>-0.13000499999999704</v>
      </c>
      <c r="H218" s="5">
        <f>interpolation(F217,$G$7:G217,$F$6:F216,$M$7)</f>
        <v>-0.92429150557217599</v>
      </c>
      <c r="I218">
        <f t="shared" si="15"/>
        <v>0.13000499999999704</v>
      </c>
      <c r="J218">
        <f t="shared" si="14"/>
        <v>1</v>
      </c>
    </row>
    <row r="219" spans="1:10" x14ac:dyDescent="0.25">
      <c r="A219" s="2">
        <v>42319</v>
      </c>
      <c r="B219" s="3">
        <v>116.370003</v>
      </c>
      <c r="C219" s="3">
        <v>117.41999800000001</v>
      </c>
      <c r="D219" s="3">
        <v>115.209999</v>
      </c>
      <c r="E219" s="3">
        <v>116.110001</v>
      </c>
      <c r="F219" s="8">
        <f t="shared" si="12"/>
        <v>118.42666800000001</v>
      </c>
      <c r="G219" s="7">
        <f t="shared" si="13"/>
        <v>-0.26000200000000007</v>
      </c>
      <c r="H219" s="5">
        <f>interpolation(F218,$G$7:G218,$F$6:F217,$M$7)</f>
        <v>0.6549992722276532</v>
      </c>
      <c r="I219">
        <f t="shared" si="15"/>
        <v>-0.26000200000000007</v>
      </c>
      <c r="J219">
        <f t="shared" si="14"/>
        <v>0</v>
      </c>
    </row>
    <row r="220" spans="1:10" x14ac:dyDescent="0.25">
      <c r="A220" s="2">
        <v>42320</v>
      </c>
      <c r="B220" s="3">
        <v>116.260002</v>
      </c>
      <c r="C220" s="3">
        <v>116.82</v>
      </c>
      <c r="D220" s="3">
        <v>115.650002</v>
      </c>
      <c r="E220" s="3">
        <v>115.720001</v>
      </c>
      <c r="F220" s="8">
        <f t="shared" si="12"/>
        <v>117.36733513333333</v>
      </c>
      <c r="G220" s="7">
        <f t="shared" si="13"/>
        <v>-0.54000100000000373</v>
      </c>
      <c r="H220" s="5">
        <f>interpolation(F219,$G$7:G219,$F$6:F218,$M$7)</f>
        <v>0.13412683884554769</v>
      </c>
      <c r="I220">
        <f t="shared" si="15"/>
        <v>-0.54000100000000373</v>
      </c>
      <c r="J220">
        <f t="shared" si="14"/>
        <v>0</v>
      </c>
    </row>
    <row r="221" spans="1:10" x14ac:dyDescent="0.25">
      <c r="A221" s="2">
        <v>42321</v>
      </c>
      <c r="B221" s="3">
        <v>115.199997</v>
      </c>
      <c r="C221" s="3">
        <v>115.57</v>
      </c>
      <c r="D221" s="3">
        <v>112.269997</v>
      </c>
      <c r="E221" s="3">
        <v>112.339996</v>
      </c>
      <c r="F221" s="8">
        <f t="shared" si="12"/>
        <v>116.32733366666666</v>
      </c>
      <c r="G221" s="7">
        <f t="shared" si="13"/>
        <v>-2.8600009999999969</v>
      </c>
      <c r="H221" s="5">
        <f>interpolation(F220,$G$7:G220,$F$6:F219,$M$7)</f>
        <v>0.14667781548867662</v>
      </c>
      <c r="I221">
        <f t="shared" si="15"/>
        <v>-2.8600009999999969</v>
      </c>
      <c r="J221">
        <f t="shared" si="14"/>
        <v>0</v>
      </c>
    </row>
    <row r="222" spans="1:10" x14ac:dyDescent="0.25">
      <c r="A222" s="2">
        <v>42324</v>
      </c>
      <c r="B222" s="3">
        <v>111.379997</v>
      </c>
      <c r="C222" s="3">
        <v>114.239998</v>
      </c>
      <c r="D222" s="3">
        <v>111</v>
      </c>
      <c r="E222" s="3">
        <v>114.18</v>
      </c>
      <c r="F222" s="8">
        <f t="shared" si="12"/>
        <v>114.40799913333333</v>
      </c>
      <c r="G222" s="7">
        <f t="shared" si="13"/>
        <v>2.8000030000000038</v>
      </c>
      <c r="H222" s="5">
        <f>interpolation(F221,$G$7:G221,$F$6:F220,$M$7)</f>
        <v>2.4890024409449314</v>
      </c>
      <c r="I222">
        <f t="shared" si="15"/>
        <v>2.8000030000000038</v>
      </c>
      <c r="J222">
        <f t="shared" si="14"/>
        <v>1</v>
      </c>
    </row>
    <row r="223" spans="1:10" x14ac:dyDescent="0.25">
      <c r="A223" s="2">
        <v>42325</v>
      </c>
      <c r="B223" s="3">
        <v>114.91999800000001</v>
      </c>
      <c r="C223" s="3">
        <v>115.050003</v>
      </c>
      <c r="D223" s="3">
        <v>113.32</v>
      </c>
      <c r="E223" s="3">
        <v>113.69000200000001</v>
      </c>
      <c r="F223" s="8">
        <f t="shared" si="12"/>
        <v>114.30733173333334</v>
      </c>
      <c r="G223" s="7">
        <f t="shared" si="13"/>
        <v>-1.2299959999999999</v>
      </c>
      <c r="H223" s="5">
        <f>interpolation(F222,$G$7:G222,$F$6:F221,$M$7)</f>
        <v>-1.9927006382551302</v>
      </c>
      <c r="I223">
        <f t="shared" si="15"/>
        <v>1.2299959999999999</v>
      </c>
      <c r="J223">
        <f t="shared" si="14"/>
        <v>1</v>
      </c>
    </row>
    <row r="224" spans="1:10" x14ac:dyDescent="0.25">
      <c r="A224" s="2">
        <v>42326</v>
      </c>
      <c r="B224" s="3">
        <v>115.760002</v>
      </c>
      <c r="C224" s="3">
        <v>117.489998</v>
      </c>
      <c r="D224" s="3">
        <v>115.5</v>
      </c>
      <c r="E224" s="3">
        <v>117.290001</v>
      </c>
      <c r="F224" s="8">
        <f t="shared" si="12"/>
        <v>114.61866593333335</v>
      </c>
      <c r="G224" s="7">
        <f t="shared" si="13"/>
        <v>1.5299990000000037</v>
      </c>
      <c r="H224" s="5">
        <f>interpolation(F223,$G$7:G223,$F$6:F222,$M$7)</f>
        <v>-0.40318948863644632</v>
      </c>
      <c r="I224">
        <f t="shared" si="15"/>
        <v>-1.5299990000000037</v>
      </c>
      <c r="J224">
        <f t="shared" si="14"/>
        <v>0</v>
      </c>
    </row>
    <row r="225" spans="1:10" x14ac:dyDescent="0.25">
      <c r="A225" s="2">
        <v>42327</v>
      </c>
      <c r="B225" s="3">
        <v>117.639999</v>
      </c>
      <c r="C225" s="3">
        <v>119.75</v>
      </c>
      <c r="D225" s="3">
        <v>116.760002</v>
      </c>
      <c r="E225" s="3">
        <v>118.779999</v>
      </c>
      <c r="F225" s="8">
        <f t="shared" si="12"/>
        <v>115.59733253333334</v>
      </c>
      <c r="G225" s="7">
        <f t="shared" si="13"/>
        <v>1.1400000000000006</v>
      </c>
      <c r="H225" s="5">
        <f>interpolation(F224,$G$7:G224,$F$6:F223,$M$7)</f>
        <v>0.45742202102115292</v>
      </c>
      <c r="I225">
        <f t="shared" si="15"/>
        <v>1.1400000000000006</v>
      </c>
      <c r="J225">
        <f t="shared" si="14"/>
        <v>1</v>
      </c>
    </row>
    <row r="226" spans="1:10" x14ac:dyDescent="0.25">
      <c r="A226" s="2">
        <v>42328</v>
      </c>
      <c r="B226" s="3">
        <v>119.199997</v>
      </c>
      <c r="C226" s="3">
        <v>119.91999800000001</v>
      </c>
      <c r="D226" s="3">
        <v>118.849998</v>
      </c>
      <c r="E226" s="3">
        <v>119.300003</v>
      </c>
      <c r="F226" s="8">
        <f t="shared" si="12"/>
        <v>117.00399866666666</v>
      </c>
      <c r="G226" s="7">
        <f t="shared" si="13"/>
        <v>0.10000600000000759</v>
      </c>
      <c r="H226" s="5">
        <f>interpolation(F225,$G$7:G225,$F$6:F224,$M$7)</f>
        <v>-1.0037190627022299</v>
      </c>
      <c r="I226">
        <f t="shared" si="15"/>
        <v>-0.10000600000000759</v>
      </c>
      <c r="J226">
        <f t="shared" si="14"/>
        <v>0</v>
      </c>
    </row>
    <row r="227" spans="1:10" x14ac:dyDescent="0.25">
      <c r="A227" s="2">
        <v>42331</v>
      </c>
      <c r="B227" s="3">
        <v>119.269997</v>
      </c>
      <c r="C227" s="3">
        <v>119.730003</v>
      </c>
      <c r="D227" s="3">
        <v>117.339996</v>
      </c>
      <c r="E227" s="3">
        <v>117.75</v>
      </c>
      <c r="F227" s="8">
        <f t="shared" si="12"/>
        <v>118.16733146666667</v>
      </c>
      <c r="G227" s="7">
        <f t="shared" si="13"/>
        <v>-1.5199970000000036</v>
      </c>
      <c r="H227" s="5">
        <f>interpolation(F226,$G$7:G226,$F$6:F225,$M$7)</f>
        <v>-0.31222786299673572</v>
      </c>
      <c r="I227">
        <f t="shared" si="15"/>
        <v>1.5199970000000036</v>
      </c>
      <c r="J227">
        <f t="shared" si="14"/>
        <v>1</v>
      </c>
    </row>
    <row r="228" spans="1:10" x14ac:dyDescent="0.25">
      <c r="A228" s="2">
        <v>42332</v>
      </c>
      <c r="B228" s="3">
        <v>117.33000199999999</v>
      </c>
      <c r="C228" s="3">
        <v>119.349998</v>
      </c>
      <c r="D228" s="3">
        <v>117.120003</v>
      </c>
      <c r="E228" s="3">
        <v>118.879997</v>
      </c>
      <c r="F228" s="8">
        <f t="shared" si="12"/>
        <v>118.15799926666665</v>
      </c>
      <c r="G228" s="7">
        <f t="shared" si="13"/>
        <v>1.5499950000000098</v>
      </c>
      <c r="H228" s="5">
        <f>interpolation(F227,$G$7:G227,$F$6:F226,$M$7)</f>
        <v>0.31901575492626505</v>
      </c>
      <c r="I228">
        <f t="shared" si="15"/>
        <v>1.5499950000000098</v>
      </c>
      <c r="J228">
        <f t="shared" si="14"/>
        <v>1</v>
      </c>
    </row>
    <row r="229" spans="1:10" x14ac:dyDescent="0.25">
      <c r="A229" s="2">
        <v>42333</v>
      </c>
      <c r="B229" s="3">
        <v>119.209999</v>
      </c>
      <c r="C229" s="3">
        <v>119.230003</v>
      </c>
      <c r="D229" s="3">
        <v>117.91999800000001</v>
      </c>
      <c r="E229" s="3">
        <v>118.029999</v>
      </c>
      <c r="F229" s="8">
        <f t="shared" si="12"/>
        <v>118.6146658</v>
      </c>
      <c r="G229" s="7">
        <f t="shared" si="13"/>
        <v>-1.1799999999999926</v>
      </c>
      <c r="H229" s="5">
        <f>interpolation(F228,$G$7:G228,$F$6:F227,$M$7)</f>
        <v>1.5206819613197564</v>
      </c>
      <c r="I229">
        <f t="shared" si="15"/>
        <v>-1.1799999999999926</v>
      </c>
      <c r="J229">
        <f t="shared" si="14"/>
        <v>0</v>
      </c>
    </row>
    <row r="230" spans="1:10" x14ac:dyDescent="0.25">
      <c r="A230" s="2">
        <v>42335</v>
      </c>
      <c r="B230" s="3">
        <v>118.290001</v>
      </c>
      <c r="C230" s="3">
        <v>118.410004</v>
      </c>
      <c r="D230" s="3">
        <v>117.599998</v>
      </c>
      <c r="E230" s="3">
        <v>117.80999799999999</v>
      </c>
      <c r="F230" s="8">
        <f t="shared" si="12"/>
        <v>118.53466653333335</v>
      </c>
      <c r="G230" s="7">
        <f t="shared" si="13"/>
        <v>-0.48000300000001062</v>
      </c>
      <c r="H230" s="5">
        <f>interpolation(F229,$G$7:G229,$F$6:F228,$M$7)</f>
        <v>0.31907016775756919</v>
      </c>
      <c r="I230">
        <f t="shared" si="15"/>
        <v>-0.48000300000001062</v>
      </c>
      <c r="J230">
        <f t="shared" si="14"/>
        <v>0</v>
      </c>
    </row>
    <row r="231" spans="1:10" x14ac:dyDescent="0.25">
      <c r="A231" s="2">
        <v>42338</v>
      </c>
      <c r="B231" s="3">
        <v>117.989998</v>
      </c>
      <c r="C231" s="3">
        <v>119.410004</v>
      </c>
      <c r="D231" s="3">
        <v>117.75</v>
      </c>
      <c r="E231" s="3">
        <v>118.300003</v>
      </c>
      <c r="F231" s="8">
        <f t="shared" si="12"/>
        <v>118.3113328</v>
      </c>
      <c r="G231" s="7">
        <f t="shared" si="13"/>
        <v>0.31000500000000386</v>
      </c>
      <c r="H231" s="5">
        <f>interpolation(F230,$G$7:G230,$F$6:F229,$M$7)</f>
        <v>-0.50553412856356383</v>
      </c>
      <c r="I231">
        <f t="shared" si="15"/>
        <v>-0.31000500000000386</v>
      </c>
      <c r="J231">
        <f t="shared" si="14"/>
        <v>0</v>
      </c>
    </row>
    <row r="232" spans="1:10" x14ac:dyDescent="0.25">
      <c r="A232" s="2">
        <v>42339</v>
      </c>
      <c r="B232" s="3">
        <v>118.75</v>
      </c>
      <c r="C232" s="3">
        <v>118.80999799999999</v>
      </c>
      <c r="D232" s="3">
        <v>116.860001</v>
      </c>
      <c r="E232" s="3">
        <v>117.339996</v>
      </c>
      <c r="F232" s="8">
        <f t="shared" si="12"/>
        <v>118.42199966666666</v>
      </c>
      <c r="G232" s="7">
        <f t="shared" si="13"/>
        <v>-1.4100040000000007</v>
      </c>
      <c r="H232" s="5">
        <f>interpolation(F231,$G$7:G231,$F$6:F230,$M$7)</f>
        <v>-0.23740740988103401</v>
      </c>
      <c r="I232">
        <f t="shared" si="15"/>
        <v>1.4100040000000007</v>
      </c>
      <c r="J232">
        <f t="shared" si="14"/>
        <v>1</v>
      </c>
    </row>
    <row r="233" spans="1:10" x14ac:dyDescent="0.25">
      <c r="A233" s="2">
        <v>42340</v>
      </c>
      <c r="B233" s="3">
        <v>117.339996</v>
      </c>
      <c r="C233" s="3">
        <v>118.110001</v>
      </c>
      <c r="D233" s="3">
        <v>116.08000199999999</v>
      </c>
      <c r="E233" s="3">
        <v>116.279999</v>
      </c>
      <c r="F233" s="8">
        <f t="shared" si="12"/>
        <v>118.09733166666665</v>
      </c>
      <c r="G233" s="7">
        <f t="shared" si="13"/>
        <v>-1.0599969999999956</v>
      </c>
      <c r="H233" s="5">
        <f>interpolation(F232,$G$7:G232,$F$6:F231,$M$7)</f>
        <v>-0.5752154358791397</v>
      </c>
      <c r="I233">
        <f t="shared" si="15"/>
        <v>1.0599969999999956</v>
      </c>
      <c r="J233">
        <f t="shared" si="14"/>
        <v>1</v>
      </c>
    </row>
    <row r="234" spans="1:10" x14ac:dyDescent="0.25">
      <c r="A234" s="2">
        <v>42341</v>
      </c>
      <c r="B234" s="3">
        <v>116.550003</v>
      </c>
      <c r="C234" s="3">
        <v>116.790001</v>
      </c>
      <c r="D234" s="3">
        <v>114.220001</v>
      </c>
      <c r="E234" s="3">
        <v>115.199997</v>
      </c>
      <c r="F234" s="8">
        <f t="shared" si="12"/>
        <v>117.50866640000001</v>
      </c>
      <c r="G234" s="7">
        <f t="shared" si="13"/>
        <v>-1.3500060000000076</v>
      </c>
      <c r="H234" s="5">
        <f>interpolation(F233,$G$7:G233,$F$6:F232,$M$7)</f>
        <v>-0.25343016782363442</v>
      </c>
      <c r="I234">
        <f t="shared" si="15"/>
        <v>1.3500060000000076</v>
      </c>
      <c r="J234">
        <f t="shared" si="14"/>
        <v>1</v>
      </c>
    </row>
    <row r="235" spans="1:10" x14ac:dyDescent="0.25">
      <c r="A235" s="2">
        <v>42342</v>
      </c>
      <c r="B235" s="3">
        <v>115.290001</v>
      </c>
      <c r="C235" s="3">
        <v>119.25</v>
      </c>
      <c r="D235" s="3">
        <v>115.110001</v>
      </c>
      <c r="E235" s="3">
        <v>119.029999</v>
      </c>
      <c r="F235" s="8">
        <f t="shared" si="12"/>
        <v>116.67733353333333</v>
      </c>
      <c r="G235" s="7">
        <f t="shared" si="13"/>
        <v>3.7399979999999999</v>
      </c>
      <c r="H235" s="5">
        <f>interpolation(F234,$G$7:G234,$F$6:F233,$M$7)</f>
        <v>-2.1390632978570019</v>
      </c>
      <c r="I235">
        <f t="shared" si="15"/>
        <v>-3.7399979999999999</v>
      </c>
      <c r="J235">
        <f t="shared" si="14"/>
        <v>0</v>
      </c>
    </row>
    <row r="236" spans="1:10" x14ac:dyDescent="0.25">
      <c r="A236" s="2">
        <v>42345</v>
      </c>
      <c r="B236" s="3">
        <v>118.980003</v>
      </c>
      <c r="C236" s="3">
        <v>119.860001</v>
      </c>
      <c r="D236" s="3">
        <v>117.80999799999999</v>
      </c>
      <c r="E236" s="3">
        <v>118.279999</v>
      </c>
      <c r="F236" s="8">
        <f t="shared" si="12"/>
        <v>117.27600133333334</v>
      </c>
      <c r="G236" s="7">
        <f t="shared" si="13"/>
        <v>-0.70000399999999274</v>
      </c>
      <c r="H236" s="5">
        <f>interpolation(F235,$G$7:G235,$F$6:F234,$M$7)</f>
        <v>0.65187959091295755</v>
      </c>
      <c r="I236">
        <f t="shared" si="15"/>
        <v>-0.70000399999999274</v>
      </c>
      <c r="J236">
        <f t="shared" si="14"/>
        <v>0</v>
      </c>
    </row>
    <row r="237" spans="1:10" x14ac:dyDescent="0.25">
      <c r="A237" s="2">
        <v>42346</v>
      </c>
      <c r="B237" s="3">
        <v>117.519997</v>
      </c>
      <c r="C237" s="3">
        <v>118.599998</v>
      </c>
      <c r="D237" s="3">
        <v>116.860001</v>
      </c>
      <c r="E237" s="3">
        <v>118.230003</v>
      </c>
      <c r="F237" s="8">
        <f t="shared" si="12"/>
        <v>117.32200013333335</v>
      </c>
      <c r="G237" s="7">
        <f t="shared" si="13"/>
        <v>0.71000599999999281</v>
      </c>
      <c r="H237" s="5">
        <f>interpolation(F236,$G$7:G236,$F$6:F235,$M$7)</f>
        <v>-1.4965493297724222</v>
      </c>
      <c r="I237">
        <f t="shared" si="15"/>
        <v>-0.71000599999999281</v>
      </c>
      <c r="J237">
        <f t="shared" si="14"/>
        <v>0</v>
      </c>
    </row>
    <row r="238" spans="1:10" x14ac:dyDescent="0.25">
      <c r="A238" s="2">
        <v>42347</v>
      </c>
      <c r="B238" s="3">
        <v>117.639999</v>
      </c>
      <c r="C238" s="3">
        <v>117.69000200000001</v>
      </c>
      <c r="D238" s="3">
        <v>115.08000199999999</v>
      </c>
      <c r="E238" s="3">
        <v>115.620003</v>
      </c>
      <c r="F238" s="8">
        <f t="shared" si="12"/>
        <v>117.48999979999999</v>
      </c>
      <c r="G238" s="7">
        <f t="shared" si="13"/>
        <v>-2.0199960000000061</v>
      </c>
      <c r="H238" s="5">
        <f>interpolation(F237,$G$7:G237,$F$6:F236,$M$7)</f>
        <v>-0.62157333697346739</v>
      </c>
      <c r="I238">
        <f t="shared" si="15"/>
        <v>2.0199960000000061</v>
      </c>
      <c r="J238">
        <f t="shared" si="14"/>
        <v>1</v>
      </c>
    </row>
    <row r="239" spans="1:10" x14ac:dyDescent="0.25">
      <c r="A239" s="2">
        <v>42348</v>
      </c>
      <c r="B239" s="3">
        <v>116.040001</v>
      </c>
      <c r="C239" s="3">
        <v>116.94000200000001</v>
      </c>
      <c r="D239" s="3">
        <v>115.510002</v>
      </c>
      <c r="E239" s="3">
        <v>116.16999800000001</v>
      </c>
      <c r="F239" s="8">
        <f t="shared" si="12"/>
        <v>117.10466659999999</v>
      </c>
      <c r="G239" s="7">
        <f t="shared" si="13"/>
        <v>0.12999700000000303</v>
      </c>
      <c r="H239" s="5">
        <f>interpolation(F238,$G$7:G238,$F$6:F237,$M$7)</f>
        <v>2.8682903854063415</v>
      </c>
      <c r="I239">
        <f t="shared" si="15"/>
        <v>0.12999700000000303</v>
      </c>
      <c r="J239">
        <f t="shared" si="14"/>
        <v>1</v>
      </c>
    </row>
    <row r="240" spans="1:10" x14ac:dyDescent="0.25">
      <c r="A240" s="2">
        <v>42349</v>
      </c>
      <c r="B240" s="3">
        <v>115.19000200000001</v>
      </c>
      <c r="C240" s="3">
        <v>115.389999</v>
      </c>
      <c r="D240" s="3">
        <v>112.849998</v>
      </c>
      <c r="E240" s="3">
        <v>113.18</v>
      </c>
      <c r="F240" s="8">
        <f t="shared" si="12"/>
        <v>116.47000053333335</v>
      </c>
      <c r="G240" s="7">
        <f t="shared" si="13"/>
        <v>-2.0100020000000001</v>
      </c>
      <c r="H240" s="5">
        <f>interpolation(F239,$G$7:G239,$F$6:F238,$M$7)</f>
        <v>-0.69467496882957125</v>
      </c>
      <c r="I240">
        <f t="shared" si="15"/>
        <v>2.0100020000000001</v>
      </c>
      <c r="J240">
        <f t="shared" si="14"/>
        <v>1</v>
      </c>
    </row>
    <row r="241" spans="1:10" x14ac:dyDescent="0.25">
      <c r="A241" s="2">
        <v>42352</v>
      </c>
      <c r="B241" s="3">
        <v>112.18</v>
      </c>
      <c r="C241" s="3">
        <v>112.68</v>
      </c>
      <c r="D241" s="3">
        <v>109.790001</v>
      </c>
      <c r="E241" s="3">
        <v>112.480003</v>
      </c>
      <c r="F241" s="8">
        <f t="shared" si="12"/>
        <v>114.83866706666667</v>
      </c>
      <c r="G241" s="7">
        <f t="shared" si="13"/>
        <v>0.30000299999998958</v>
      </c>
      <c r="H241" s="5">
        <f>interpolation(F240,$G$7:G240,$F$6:F239,$M$7)</f>
        <v>2.1728725122807306</v>
      </c>
      <c r="I241">
        <f t="shared" si="15"/>
        <v>0.30000299999998958</v>
      </c>
      <c r="J241">
        <f t="shared" si="14"/>
        <v>1</v>
      </c>
    </row>
    <row r="242" spans="1:10" x14ac:dyDescent="0.25">
      <c r="A242" s="2">
        <v>42353</v>
      </c>
      <c r="B242" s="3">
        <v>111.94000200000001</v>
      </c>
      <c r="C242" s="3">
        <v>112.800003</v>
      </c>
      <c r="D242" s="3">
        <v>110.349998</v>
      </c>
      <c r="E242" s="3">
        <v>110.489998</v>
      </c>
      <c r="F242" s="8">
        <f t="shared" si="12"/>
        <v>113.5806678</v>
      </c>
      <c r="G242" s="7">
        <f t="shared" si="13"/>
        <v>-1.450004000000007</v>
      </c>
      <c r="H242" s="5">
        <f>interpolation(F241,$G$7:G241,$F$6:F240,$M$7)</f>
        <v>1.3854563490750726</v>
      </c>
      <c r="I242">
        <f t="shared" si="15"/>
        <v>-1.450004000000007</v>
      </c>
      <c r="J242">
        <f t="shared" si="14"/>
        <v>0</v>
      </c>
    </row>
    <row r="243" spans="1:10" x14ac:dyDescent="0.25">
      <c r="A243" s="2">
        <v>42354</v>
      </c>
      <c r="B243" s="3">
        <v>111.07</v>
      </c>
      <c r="C243" s="3">
        <v>111.989998</v>
      </c>
      <c r="D243" s="3">
        <v>108.800003</v>
      </c>
      <c r="E243" s="3">
        <v>111.339996</v>
      </c>
      <c r="F243" s="8">
        <f t="shared" si="12"/>
        <v>112.40466753333334</v>
      </c>
      <c r="G243" s="7">
        <f t="shared" si="13"/>
        <v>0.26999600000000612</v>
      </c>
      <c r="H243" s="5">
        <f>interpolation(F242,$G$7:G242,$F$6:F241,$M$7)</f>
        <v>3.8720755496329695</v>
      </c>
      <c r="I243">
        <f t="shared" si="15"/>
        <v>0.26999600000000612</v>
      </c>
      <c r="J243">
        <f t="shared" si="14"/>
        <v>1</v>
      </c>
    </row>
    <row r="244" spans="1:10" x14ac:dyDescent="0.25">
      <c r="A244" s="2">
        <v>42355</v>
      </c>
      <c r="B244" s="3">
        <v>112.019997</v>
      </c>
      <c r="C244" s="3">
        <v>112.25</v>
      </c>
      <c r="D244" s="3">
        <v>108.980003</v>
      </c>
      <c r="E244" s="3">
        <v>108.980003</v>
      </c>
      <c r="F244" s="8">
        <f t="shared" si="12"/>
        <v>111.98333286666667</v>
      </c>
      <c r="G244" s="7">
        <f t="shared" si="13"/>
        <v>-3.0399940000000072</v>
      </c>
      <c r="H244" s="5">
        <f>interpolation(F243,$G$7:G243,$F$6:F242,$M$7)</f>
        <v>-1.1562517390916049</v>
      </c>
      <c r="I244">
        <f t="shared" si="15"/>
        <v>3.0399940000000072</v>
      </c>
      <c r="J244">
        <f t="shared" si="14"/>
        <v>1</v>
      </c>
    </row>
    <row r="245" spans="1:10" x14ac:dyDescent="0.25">
      <c r="A245" s="2">
        <v>42356</v>
      </c>
      <c r="B245" s="3">
        <v>108.910004</v>
      </c>
      <c r="C245" s="3">
        <v>109.519997</v>
      </c>
      <c r="D245" s="3">
        <v>105.80999799999999</v>
      </c>
      <c r="E245" s="3">
        <v>106.029999</v>
      </c>
      <c r="F245" s="8">
        <f t="shared" si="12"/>
        <v>110.79333413333333</v>
      </c>
      <c r="G245" s="7">
        <f t="shared" si="13"/>
        <v>-2.880004999999997</v>
      </c>
      <c r="H245" s="5">
        <f>interpolation(F244,$G$7:G244,$F$6:F243,$M$7)</f>
        <v>1.8224284713694583</v>
      </c>
      <c r="I245">
        <f t="shared" si="15"/>
        <v>-2.880004999999997</v>
      </c>
      <c r="J245">
        <f t="shared" si="14"/>
        <v>0</v>
      </c>
    </row>
    <row r="246" spans="1:10" x14ac:dyDescent="0.25">
      <c r="A246" s="2">
        <v>42359</v>
      </c>
      <c r="B246" s="3">
        <v>107.279999</v>
      </c>
      <c r="C246" s="3">
        <v>107.370003</v>
      </c>
      <c r="D246" s="3">
        <v>105.57</v>
      </c>
      <c r="E246" s="3">
        <v>107.33000199999999</v>
      </c>
      <c r="F246" s="8">
        <f t="shared" si="12"/>
        <v>109.47866693333334</v>
      </c>
      <c r="G246" s="7">
        <f t="shared" si="13"/>
        <v>5.0002999999989584E-2</v>
      </c>
      <c r="H246" s="5">
        <f>interpolation(F245,$G$7:G245,$F$6:F244,$M$7)</f>
        <v>-1.1925315890574215</v>
      </c>
      <c r="I246">
        <f t="shared" si="15"/>
        <v>-5.0002999999989584E-2</v>
      </c>
      <c r="J246">
        <f t="shared" si="14"/>
        <v>0</v>
      </c>
    </row>
    <row r="247" spans="1:10" x14ac:dyDescent="0.25">
      <c r="A247" s="2">
        <v>42360</v>
      </c>
      <c r="B247" s="3">
        <v>107.400002</v>
      </c>
      <c r="C247" s="3">
        <v>107.720001</v>
      </c>
      <c r="D247" s="3">
        <v>106.449997</v>
      </c>
      <c r="E247" s="3">
        <v>107.230003</v>
      </c>
      <c r="F247" s="8">
        <f t="shared" si="12"/>
        <v>108.53066746666667</v>
      </c>
      <c r="G247" s="7">
        <f t="shared" si="13"/>
        <v>-0.16999900000000423</v>
      </c>
      <c r="H247" s="5">
        <f>interpolation(F246,$G$7:G246,$F$6:F245,$M$7)</f>
        <v>-0.34172218406420185</v>
      </c>
      <c r="I247">
        <f t="shared" si="15"/>
        <v>0.16999900000000423</v>
      </c>
      <c r="J247">
        <f t="shared" si="14"/>
        <v>1</v>
      </c>
    </row>
    <row r="248" spans="1:10" x14ac:dyDescent="0.25">
      <c r="A248" s="2">
        <v>42361</v>
      </c>
      <c r="B248" s="3">
        <v>107.269997</v>
      </c>
      <c r="C248" s="3">
        <v>108.849998</v>
      </c>
      <c r="D248" s="3">
        <v>107.199997</v>
      </c>
      <c r="E248" s="3">
        <v>108.610001</v>
      </c>
      <c r="F248" s="8">
        <f t="shared" si="12"/>
        <v>107.84199966666667</v>
      </c>
      <c r="G248" s="7">
        <f t="shared" si="13"/>
        <v>1.3400039999999933</v>
      </c>
      <c r="H248" s="5">
        <f>interpolation(F247,$G$7:G247,$F$6:F246,$M$7)</f>
        <v>0.26340158275230158</v>
      </c>
      <c r="I248">
        <f t="shared" si="15"/>
        <v>1.3400039999999933</v>
      </c>
      <c r="J248">
        <f t="shared" si="14"/>
        <v>1</v>
      </c>
    </row>
    <row r="249" spans="1:10" x14ac:dyDescent="0.25">
      <c r="A249" s="2">
        <v>42362</v>
      </c>
      <c r="B249" s="3">
        <v>109</v>
      </c>
      <c r="C249" s="3">
        <v>109</v>
      </c>
      <c r="D249" s="3">
        <v>107.949997</v>
      </c>
      <c r="E249" s="3">
        <v>108.029999</v>
      </c>
      <c r="F249" s="8">
        <f t="shared" si="12"/>
        <v>107.98333306666667</v>
      </c>
      <c r="G249" s="7">
        <f t="shared" si="13"/>
        <v>-0.97000099999999634</v>
      </c>
      <c r="H249" s="5">
        <f>interpolation(F248,$G$7:G248,$F$6:F247,$M$7)</f>
        <v>1.7605856569950347</v>
      </c>
      <c r="I249">
        <f t="shared" si="15"/>
        <v>-0.97000099999999634</v>
      </c>
      <c r="J249">
        <f t="shared" si="14"/>
        <v>0</v>
      </c>
    </row>
    <row r="250" spans="1:10" x14ac:dyDescent="0.25">
      <c r="A250" s="2">
        <v>42366</v>
      </c>
      <c r="B250" s="3">
        <v>107.589996</v>
      </c>
      <c r="C250" s="3">
        <v>107.69000200000001</v>
      </c>
      <c r="D250" s="3">
        <v>106.18</v>
      </c>
      <c r="E250" s="3">
        <v>106.82</v>
      </c>
      <c r="F250" s="8">
        <f t="shared" si="12"/>
        <v>107.85599826666666</v>
      </c>
      <c r="G250" s="7">
        <f t="shared" si="13"/>
        <v>-0.76999600000000612</v>
      </c>
      <c r="H250" s="5">
        <f>interpolation(F249,$G$7:G249,$F$6:F248,$M$7)</f>
        <v>-0.14643225211699926</v>
      </c>
      <c r="I250">
        <f t="shared" si="15"/>
        <v>0.76999600000000612</v>
      </c>
      <c r="J250">
        <f t="shared" si="14"/>
        <v>1</v>
      </c>
    </row>
    <row r="251" spans="1:10" x14ac:dyDescent="0.25">
      <c r="A251" s="2">
        <v>42367</v>
      </c>
      <c r="B251" s="3">
        <v>106.959999</v>
      </c>
      <c r="C251" s="3">
        <v>109.43</v>
      </c>
      <c r="D251" s="3">
        <v>106.860001</v>
      </c>
      <c r="E251" s="3">
        <v>108.739998</v>
      </c>
      <c r="F251" s="8">
        <f t="shared" si="12"/>
        <v>107.60666500000001</v>
      </c>
      <c r="G251" s="7">
        <f t="shared" si="13"/>
        <v>1.7799990000000037</v>
      </c>
      <c r="H251" s="5">
        <f>interpolation(F250,$G$7:G250,$F$6:F249,$M$7)</f>
        <v>-0.95019117448813262</v>
      </c>
      <c r="I251">
        <f t="shared" si="15"/>
        <v>-1.7799990000000037</v>
      </c>
      <c r="J251">
        <f t="shared" si="14"/>
        <v>0</v>
      </c>
    </row>
    <row r="252" spans="1:10" x14ac:dyDescent="0.25">
      <c r="A252" s="2">
        <v>42368</v>
      </c>
      <c r="B252" s="3">
        <v>108.58000199999999</v>
      </c>
      <c r="C252" s="3">
        <v>108.699997</v>
      </c>
      <c r="D252" s="3">
        <v>107.18</v>
      </c>
      <c r="E252" s="3">
        <v>107.32</v>
      </c>
      <c r="F252" s="8">
        <f t="shared" si="12"/>
        <v>107.91866606666666</v>
      </c>
      <c r="G252" s="7">
        <f t="shared" si="13"/>
        <v>-1.2600020000000001</v>
      </c>
      <c r="H252" s="5">
        <f>interpolation(F251,$G$7:G251,$F$6:F250,$M$7)</f>
        <v>0.81755063281971618</v>
      </c>
      <c r="I252">
        <f t="shared" si="15"/>
        <v>-1.2600020000000001</v>
      </c>
      <c r="J252">
        <f t="shared" si="14"/>
        <v>0</v>
      </c>
    </row>
    <row r="253" spans="1:10" x14ac:dyDescent="0.25">
      <c r="A253" s="2">
        <v>42369</v>
      </c>
      <c r="B253" s="3">
        <v>107.010002</v>
      </c>
      <c r="C253" s="3">
        <v>107.029999</v>
      </c>
      <c r="D253" s="3">
        <v>104.82</v>
      </c>
      <c r="E253" s="3">
        <v>105.260002</v>
      </c>
      <c r="F253" s="8">
        <f t="shared" si="12"/>
        <v>107.62866713333332</v>
      </c>
      <c r="G253" s="7">
        <f t="shared" si="13"/>
        <v>-1.75</v>
      </c>
      <c r="H253" s="5">
        <f>interpolation(F252,$G$7:G252,$F$6:F251,$M$7)</f>
        <v>0.52501939771545525</v>
      </c>
      <c r="I253">
        <f t="shared" si="15"/>
        <v>-1.75</v>
      </c>
      <c r="J253">
        <f t="shared" si="14"/>
        <v>0</v>
      </c>
    </row>
    <row r="254" spans="1:10" x14ac:dyDescent="0.25">
      <c r="A254" s="2">
        <v>42373</v>
      </c>
      <c r="B254" s="3">
        <v>102.610001</v>
      </c>
      <c r="C254" s="3">
        <v>105.370003</v>
      </c>
      <c r="D254" s="3">
        <v>102</v>
      </c>
      <c r="E254" s="3">
        <v>105.349998</v>
      </c>
      <c r="F254" s="8">
        <f t="shared" si="12"/>
        <v>105.88933419999999</v>
      </c>
      <c r="G254" s="7">
        <f t="shared" si="13"/>
        <v>2.7399970000000025</v>
      </c>
      <c r="H254" s="5">
        <f>interpolation(F253,$G$7:G253,$F$6:F252,$M$7)</f>
        <v>-1.2328889496399651</v>
      </c>
      <c r="I254">
        <f t="shared" si="15"/>
        <v>-2.7399970000000025</v>
      </c>
      <c r="J254">
        <f t="shared" si="14"/>
        <v>0</v>
      </c>
    </row>
    <row r="255" spans="1:10" x14ac:dyDescent="0.25">
      <c r="A255" s="2">
        <v>42374</v>
      </c>
      <c r="B255" s="3">
        <v>105.75</v>
      </c>
      <c r="C255" s="3">
        <v>105.849998</v>
      </c>
      <c r="D255" s="3">
        <v>102.410004</v>
      </c>
      <c r="E255" s="3">
        <v>102.709999</v>
      </c>
      <c r="F255" s="8">
        <f t="shared" si="12"/>
        <v>105.62266753333333</v>
      </c>
      <c r="G255" s="7">
        <f t="shared" si="13"/>
        <v>-3.0400010000000037</v>
      </c>
      <c r="H255" s="5">
        <f>interpolation(F254,$G$7:G254,$F$6:F253,$M$7)</f>
        <v>0.68999500000001035</v>
      </c>
      <c r="I255">
        <f t="shared" si="15"/>
        <v>-3.0400010000000037</v>
      </c>
      <c r="J255">
        <f t="shared" si="14"/>
        <v>0</v>
      </c>
    </row>
    <row r="256" spans="1:10" x14ac:dyDescent="0.25">
      <c r="A256" s="2">
        <v>42375</v>
      </c>
      <c r="B256" s="3">
        <v>100.55999799999999</v>
      </c>
      <c r="C256" s="3">
        <v>102.370003</v>
      </c>
      <c r="D256" s="3">
        <v>99.870002999999997</v>
      </c>
      <c r="E256" s="3">
        <v>100.699997</v>
      </c>
      <c r="F256" s="8">
        <f t="shared" si="12"/>
        <v>103.74866659999999</v>
      </c>
      <c r="G256" s="7">
        <f t="shared" si="13"/>
        <v>0.13999900000000309</v>
      </c>
      <c r="H256" s="5">
        <f>interpolation(F255,$G$7:G255,$F$6:F254,$M$7)</f>
        <v>-3.0400010000000037</v>
      </c>
      <c r="I256">
        <f t="shared" si="15"/>
        <v>-0.13999900000000309</v>
      </c>
      <c r="J256">
        <f t="shared" si="14"/>
        <v>0</v>
      </c>
    </row>
    <row r="257" spans="1:10" x14ac:dyDescent="0.25">
      <c r="A257" s="2">
        <v>42376</v>
      </c>
      <c r="B257" s="3">
        <v>98.68</v>
      </c>
      <c r="C257" s="3">
        <v>100.129997</v>
      </c>
      <c r="D257" s="3">
        <v>96.43</v>
      </c>
      <c r="E257" s="3">
        <v>96.449996999999996</v>
      </c>
      <c r="F257" s="8">
        <f t="shared" si="12"/>
        <v>101.67466640000001</v>
      </c>
      <c r="G257" s="7">
        <f t="shared" si="13"/>
        <v>-2.2300030000000106</v>
      </c>
      <c r="H257" s="5">
        <f>interpolation(F256,$G$7:G256,$F$6:F255,$M$7)</f>
        <v>0.13999900000000309</v>
      </c>
      <c r="I257">
        <f t="shared" si="15"/>
        <v>-2.2300030000000106</v>
      </c>
      <c r="J257">
        <f t="shared" si="14"/>
        <v>0</v>
      </c>
    </row>
    <row r="258" spans="1:10" x14ac:dyDescent="0.25">
      <c r="A258" s="2">
        <v>42377</v>
      </c>
      <c r="B258" s="3">
        <v>98.550003000000004</v>
      </c>
      <c r="C258" s="3">
        <v>99.110000999999997</v>
      </c>
      <c r="D258" s="3">
        <v>96.760002</v>
      </c>
      <c r="E258" s="3">
        <v>96.959998999999996</v>
      </c>
      <c r="F258" s="8">
        <f t="shared" si="12"/>
        <v>100.21733399999999</v>
      </c>
      <c r="G258" s="7">
        <f t="shared" si="13"/>
        <v>-1.5900040000000075</v>
      </c>
      <c r="H258" s="5">
        <f>interpolation(F257,$G$7:G257,$F$6:F256,$M$7)</f>
        <v>-2.2300030000000106</v>
      </c>
      <c r="I258">
        <f t="shared" si="15"/>
        <v>1.5900040000000075</v>
      </c>
      <c r="J258">
        <f t="shared" si="14"/>
        <v>1</v>
      </c>
    </row>
    <row r="259" spans="1:10" x14ac:dyDescent="0.25">
      <c r="A259" s="2">
        <v>42380</v>
      </c>
      <c r="B259" s="3">
        <v>98.970000999999996</v>
      </c>
      <c r="C259" s="3">
        <v>99.059997999999993</v>
      </c>
      <c r="D259" s="3">
        <v>97.339995999999999</v>
      </c>
      <c r="E259" s="3">
        <v>98.529999000000004</v>
      </c>
      <c r="F259" s="8">
        <f t="shared" si="12"/>
        <v>99.46400086666668</v>
      </c>
      <c r="G259" s="7">
        <f t="shared" si="13"/>
        <v>-0.44000199999999268</v>
      </c>
      <c r="H259" s="5">
        <f>interpolation(F258,$G$7:G258,$F$6:F257,$M$7)</f>
        <v>-1.5900040000000075</v>
      </c>
      <c r="I259">
        <f t="shared" si="15"/>
        <v>0.44000199999999268</v>
      </c>
      <c r="J259">
        <f t="shared" si="14"/>
        <v>1</v>
      </c>
    </row>
    <row r="260" spans="1:10" x14ac:dyDescent="0.25">
      <c r="A260" s="2">
        <v>42381</v>
      </c>
      <c r="B260" s="3">
        <v>100.550003</v>
      </c>
      <c r="C260" s="3">
        <v>100.69000200000001</v>
      </c>
      <c r="D260" s="3">
        <v>98.839995999999999</v>
      </c>
      <c r="E260" s="3">
        <v>99.959998999999996</v>
      </c>
      <c r="F260" s="8">
        <f t="shared" si="12"/>
        <v>99.480001733333339</v>
      </c>
      <c r="G260" s="7">
        <f t="shared" si="13"/>
        <v>-0.59000400000000752</v>
      </c>
      <c r="H260" s="5">
        <f>interpolation(F259,$G$7:G259,$F$6:F258,$M$7)</f>
        <v>-0.44000199999999268</v>
      </c>
      <c r="I260">
        <f t="shared" si="15"/>
        <v>0.59000400000000752</v>
      </c>
      <c r="J260">
        <f t="shared" si="14"/>
        <v>1</v>
      </c>
    </row>
    <row r="261" spans="1:10" x14ac:dyDescent="0.25">
      <c r="A261" s="2">
        <v>42382</v>
      </c>
      <c r="B261" s="3">
        <v>100.32</v>
      </c>
      <c r="C261" s="3">
        <v>101.19000200000001</v>
      </c>
      <c r="D261" s="3">
        <v>97.300003000000004</v>
      </c>
      <c r="E261" s="3">
        <v>97.389999000000003</v>
      </c>
      <c r="F261" s="8">
        <f t="shared" si="12"/>
        <v>99.766001399999993</v>
      </c>
      <c r="G261" s="7">
        <f t="shared" si="13"/>
        <v>-2.9300009999999901</v>
      </c>
      <c r="H261" s="5">
        <f>interpolation(F260,$G$7:G260,$F$6:F259,$M$7)</f>
        <v>-0.58681794339963977</v>
      </c>
      <c r="I261">
        <f t="shared" si="15"/>
        <v>2.9300009999999901</v>
      </c>
      <c r="J261">
        <f t="shared" si="14"/>
        <v>1</v>
      </c>
    </row>
    <row r="262" spans="1:10" x14ac:dyDescent="0.25">
      <c r="A262" s="2">
        <v>42383</v>
      </c>
      <c r="B262" s="3">
        <v>97.959998999999996</v>
      </c>
      <c r="C262" s="3">
        <v>100.480003</v>
      </c>
      <c r="D262" s="3">
        <v>95.739998</v>
      </c>
      <c r="E262" s="3">
        <v>99.519997000000004</v>
      </c>
      <c r="F262" s="8">
        <f t="shared" si="12"/>
        <v>99.281333933333343</v>
      </c>
      <c r="G262" s="7">
        <f t="shared" si="13"/>
        <v>1.5599980000000073</v>
      </c>
      <c r="H262" s="5">
        <f>interpolation(F261,$G$7:G261,$F$6:F260,$M$7)</f>
        <v>-1.964169289935608</v>
      </c>
      <c r="I262">
        <f t="shared" si="15"/>
        <v>-1.5599980000000073</v>
      </c>
      <c r="J262">
        <f t="shared" si="14"/>
        <v>0</v>
      </c>
    </row>
    <row r="263" spans="1:10" x14ac:dyDescent="0.25">
      <c r="A263" s="2">
        <v>42384</v>
      </c>
      <c r="B263" s="3">
        <v>96.199996999999996</v>
      </c>
      <c r="C263" s="3">
        <v>97.709998999999996</v>
      </c>
      <c r="D263" s="3">
        <v>95.360000999999997</v>
      </c>
      <c r="E263" s="3">
        <v>97.129997000000003</v>
      </c>
      <c r="F263" s="8">
        <f t="shared" ref="F263:F326" si="16">movingAverage(B259:B263,$M$6)</f>
        <v>98.2579992</v>
      </c>
      <c r="G263" s="7">
        <f t="shared" ref="G263:G326" si="17">E263-B263</f>
        <v>0.93000000000000682</v>
      </c>
      <c r="H263" s="5">
        <f>interpolation(F262,$G$7:G262,$F$6:F261,$M$7)</f>
        <v>-0.59000400000000752</v>
      </c>
      <c r="I263">
        <f t="shared" si="15"/>
        <v>-0.93000000000000682</v>
      </c>
      <c r="J263">
        <f t="shared" si="14"/>
        <v>0</v>
      </c>
    </row>
    <row r="264" spans="1:10" x14ac:dyDescent="0.25">
      <c r="A264" s="2">
        <v>42388</v>
      </c>
      <c r="B264" s="3">
        <v>98.410004000000001</v>
      </c>
      <c r="C264" s="3">
        <v>98.650002000000001</v>
      </c>
      <c r="D264" s="3">
        <v>95.5</v>
      </c>
      <c r="E264" s="3">
        <v>96.660004000000001</v>
      </c>
      <c r="F264" s="8">
        <f t="shared" si="16"/>
        <v>98.128000533333335</v>
      </c>
      <c r="G264" s="7">
        <f t="shared" si="17"/>
        <v>-1.75</v>
      </c>
      <c r="H264" s="5">
        <f>interpolation(F263,$G$7:G263,$F$6:F262,$M$7)</f>
        <v>0.93000000000000682</v>
      </c>
      <c r="I264">
        <f t="shared" si="15"/>
        <v>-1.75</v>
      </c>
      <c r="J264">
        <f t="shared" si="14"/>
        <v>0</v>
      </c>
    </row>
    <row r="265" spans="1:10" x14ac:dyDescent="0.25">
      <c r="A265" s="2">
        <v>42389</v>
      </c>
      <c r="B265" s="3">
        <v>95.099997999999999</v>
      </c>
      <c r="C265" s="3">
        <v>98.190002000000007</v>
      </c>
      <c r="D265" s="3">
        <v>93.419998000000007</v>
      </c>
      <c r="E265" s="3">
        <v>96.790001000000004</v>
      </c>
      <c r="F265" s="8">
        <f t="shared" si="16"/>
        <v>96.93199966666667</v>
      </c>
      <c r="G265" s="7">
        <f t="shared" si="17"/>
        <v>1.6900030000000044</v>
      </c>
      <c r="H265" s="5">
        <f>interpolation(F264,$G$7:G264,$F$6:F263,$M$7)</f>
        <v>-1.75</v>
      </c>
      <c r="I265">
        <f t="shared" si="15"/>
        <v>-1.6900030000000044</v>
      </c>
      <c r="J265">
        <f t="shared" ref="J265:J328" si="18">IF(I265&gt;0,1,0)</f>
        <v>0</v>
      </c>
    </row>
    <row r="266" spans="1:10" x14ac:dyDescent="0.25">
      <c r="A266" s="2">
        <v>42390</v>
      </c>
      <c r="B266" s="3">
        <v>97.059997999999993</v>
      </c>
      <c r="C266" s="3">
        <v>97.879997000000003</v>
      </c>
      <c r="D266" s="3">
        <v>94.940002000000007</v>
      </c>
      <c r="E266" s="3">
        <v>96.300003000000004</v>
      </c>
      <c r="F266" s="8">
        <f t="shared" si="16"/>
        <v>96.752665800000003</v>
      </c>
      <c r="G266" s="7">
        <f t="shared" si="17"/>
        <v>-0.75999499999998932</v>
      </c>
      <c r="H266" s="5">
        <f>interpolation(F265,$G$7:G265,$F$6:F264,$M$7)</f>
        <v>1.6900030000000044</v>
      </c>
      <c r="I266">
        <f t="shared" ref="I266:I329" si="19">IF(H266&gt;=0,E266-B266,B266-E266)</f>
        <v>-0.75999499999998932</v>
      </c>
      <c r="J266">
        <f t="shared" si="18"/>
        <v>0</v>
      </c>
    </row>
    <row r="267" spans="1:10" x14ac:dyDescent="0.25">
      <c r="A267" s="2">
        <v>42391</v>
      </c>
      <c r="B267" s="3">
        <v>98.629997000000003</v>
      </c>
      <c r="C267" s="3">
        <v>101.459999</v>
      </c>
      <c r="D267" s="3">
        <v>98.370002999999997</v>
      </c>
      <c r="E267" s="3">
        <v>101.41999800000001</v>
      </c>
      <c r="F267" s="8">
        <f t="shared" si="16"/>
        <v>97.313998399999988</v>
      </c>
      <c r="G267" s="7">
        <f t="shared" si="17"/>
        <v>2.7900010000000037</v>
      </c>
      <c r="H267" s="5">
        <f>interpolation(F266,$G$7:G266,$F$6:F265,$M$7)</f>
        <v>-0.75999499999998932</v>
      </c>
      <c r="I267">
        <f t="shared" si="19"/>
        <v>-2.7900010000000037</v>
      </c>
      <c r="J267">
        <f t="shared" si="18"/>
        <v>0</v>
      </c>
    </row>
    <row r="268" spans="1:10" x14ac:dyDescent="0.25">
      <c r="A268" s="2">
        <v>42394</v>
      </c>
      <c r="B268" s="3">
        <v>101.519997</v>
      </c>
      <c r="C268" s="3">
        <v>101.529999</v>
      </c>
      <c r="D268" s="3">
        <v>99.209998999999996</v>
      </c>
      <c r="E268" s="3">
        <v>99.440002000000007</v>
      </c>
      <c r="F268" s="8">
        <f t="shared" si="16"/>
        <v>98.7939978</v>
      </c>
      <c r="G268" s="7">
        <f t="shared" si="17"/>
        <v>-2.0799949999999967</v>
      </c>
      <c r="H268" s="5">
        <f>interpolation(F267,$G$7:G267,$F$6:F266,$M$7)</f>
        <v>2.2526283013431347E-2</v>
      </c>
      <c r="I268">
        <f t="shared" si="19"/>
        <v>-2.0799949999999967</v>
      </c>
      <c r="J268">
        <f t="shared" si="18"/>
        <v>0</v>
      </c>
    </row>
    <row r="269" spans="1:10" x14ac:dyDescent="0.25">
      <c r="A269" s="2">
        <v>42395</v>
      </c>
      <c r="B269" s="3">
        <v>99.93</v>
      </c>
      <c r="C269" s="3">
        <v>100.879997</v>
      </c>
      <c r="D269" s="3">
        <v>98.07</v>
      </c>
      <c r="E269" s="3">
        <v>99.989998</v>
      </c>
      <c r="F269" s="8">
        <f t="shared" si="16"/>
        <v>99.389331533333333</v>
      </c>
      <c r="G269" s="7">
        <f t="shared" si="17"/>
        <v>5.9997999999993112E-2</v>
      </c>
      <c r="H269" s="5">
        <f>interpolation(F268,$G$7:G268,$F$6:F267,$M$7)</f>
        <v>-0.34627920248449001</v>
      </c>
      <c r="I269">
        <f t="shared" si="19"/>
        <v>-5.9997999999993112E-2</v>
      </c>
      <c r="J269">
        <f t="shared" si="18"/>
        <v>0</v>
      </c>
    </row>
    <row r="270" spans="1:10" x14ac:dyDescent="0.25">
      <c r="A270" s="2">
        <v>42396</v>
      </c>
      <c r="B270" s="3">
        <v>96.040001000000004</v>
      </c>
      <c r="C270" s="3">
        <v>96.629997000000003</v>
      </c>
      <c r="D270" s="3">
        <v>93.339995999999999</v>
      </c>
      <c r="E270" s="3">
        <v>93.419998000000007</v>
      </c>
      <c r="F270" s="8">
        <f t="shared" si="16"/>
        <v>98.586665866666678</v>
      </c>
      <c r="G270" s="7">
        <f t="shared" si="17"/>
        <v>-2.620002999999997</v>
      </c>
      <c r="H270" s="5">
        <f>interpolation(F269,$G$7:G269,$F$6:F268,$M$7)</f>
        <v>3.1332786428146742E-2</v>
      </c>
      <c r="I270">
        <f t="shared" si="19"/>
        <v>-2.620002999999997</v>
      </c>
      <c r="J270">
        <f t="shared" si="18"/>
        <v>0</v>
      </c>
    </row>
    <row r="271" spans="1:10" x14ac:dyDescent="0.25">
      <c r="A271" s="2">
        <v>42397</v>
      </c>
      <c r="B271" s="3">
        <v>93.790001000000004</v>
      </c>
      <c r="C271" s="3">
        <v>94.519997000000004</v>
      </c>
      <c r="D271" s="3">
        <v>92.389999000000003</v>
      </c>
      <c r="E271" s="3">
        <v>94.089995999999999</v>
      </c>
      <c r="F271" s="8">
        <f t="shared" si="16"/>
        <v>96.971333333333348</v>
      </c>
      <c r="G271" s="7">
        <f t="shared" si="17"/>
        <v>0.29999499999999557</v>
      </c>
      <c r="H271" s="5">
        <f>interpolation(F270,$G$7:G270,$F$6:F269,$M$7)</f>
        <v>-0.64013514338777822</v>
      </c>
      <c r="I271">
        <f t="shared" si="19"/>
        <v>-0.29999499999999557</v>
      </c>
      <c r="J271">
        <f t="shared" si="18"/>
        <v>0</v>
      </c>
    </row>
    <row r="272" spans="1:10" x14ac:dyDescent="0.25">
      <c r="A272" s="2">
        <v>42398</v>
      </c>
      <c r="B272" s="3">
        <v>94.790001000000004</v>
      </c>
      <c r="C272" s="3">
        <v>97.339995999999999</v>
      </c>
      <c r="D272" s="3">
        <v>94.349997999999999</v>
      </c>
      <c r="E272" s="3">
        <v>97.339995999999999</v>
      </c>
      <c r="F272" s="8">
        <f t="shared" si="16"/>
        <v>95.907333933333334</v>
      </c>
      <c r="G272" s="7">
        <f t="shared" si="17"/>
        <v>2.5499949999999956</v>
      </c>
      <c r="H272" s="5">
        <f>interpolation(F271,$G$7:G271,$F$6:F270,$M$7)</f>
        <v>-0.89591283288639256</v>
      </c>
      <c r="I272">
        <f t="shared" si="19"/>
        <v>-2.5499949999999956</v>
      </c>
      <c r="J272">
        <f t="shared" si="18"/>
        <v>0</v>
      </c>
    </row>
    <row r="273" spans="1:10" x14ac:dyDescent="0.25">
      <c r="A273" s="2">
        <v>42401</v>
      </c>
      <c r="B273" s="3">
        <v>96.470000999999996</v>
      </c>
      <c r="C273" s="3">
        <v>96.709998999999996</v>
      </c>
      <c r="D273" s="3">
        <v>95.400002000000001</v>
      </c>
      <c r="E273" s="3">
        <v>96.43</v>
      </c>
      <c r="F273" s="8">
        <f t="shared" si="16"/>
        <v>95.659334266666676</v>
      </c>
      <c r="G273" s="7">
        <f t="shared" si="17"/>
        <v>-4.0000999999989517E-2</v>
      </c>
      <c r="H273" s="5">
        <f>interpolation(F272,$G$7:G272,$F$6:F271,$M$7)</f>
        <v>2.7900010000000037</v>
      </c>
      <c r="I273">
        <f t="shared" si="19"/>
        <v>-4.0000999999989517E-2</v>
      </c>
      <c r="J273">
        <f t="shared" si="18"/>
        <v>0</v>
      </c>
    </row>
    <row r="274" spans="1:10" x14ac:dyDescent="0.25">
      <c r="A274" s="2">
        <v>42402</v>
      </c>
      <c r="B274" s="3">
        <v>95.419998000000007</v>
      </c>
      <c r="C274" s="3">
        <v>96.040001000000004</v>
      </c>
      <c r="D274" s="3">
        <v>94.279999000000004</v>
      </c>
      <c r="E274" s="3">
        <v>94.480002999999996</v>
      </c>
      <c r="F274" s="8">
        <f t="shared" si="16"/>
        <v>95.397999999999996</v>
      </c>
      <c r="G274" s="7">
        <f t="shared" si="17"/>
        <v>-0.93999500000001035</v>
      </c>
      <c r="H274" s="5">
        <f>interpolation(F273,$G$7:G273,$F$6:F272,$M$7)</f>
        <v>-4.0000999999989517E-2</v>
      </c>
      <c r="I274">
        <f t="shared" si="19"/>
        <v>0.93999500000001035</v>
      </c>
      <c r="J274">
        <f t="shared" si="18"/>
        <v>1</v>
      </c>
    </row>
    <row r="275" spans="1:10" x14ac:dyDescent="0.25">
      <c r="A275" s="2">
        <v>42403</v>
      </c>
      <c r="B275" s="3">
        <v>95</v>
      </c>
      <c r="C275" s="3">
        <v>96.839995999999999</v>
      </c>
      <c r="D275" s="3">
        <v>94.080001999999993</v>
      </c>
      <c r="E275" s="3">
        <v>96.349997999999999</v>
      </c>
      <c r="F275" s="8">
        <f t="shared" si="16"/>
        <v>95.297333199999997</v>
      </c>
      <c r="G275" s="7">
        <f t="shared" si="17"/>
        <v>1.3499979999999994</v>
      </c>
      <c r="H275" s="5">
        <f>interpolation(F274,$G$7:G274,$F$6:F273,$M$7)</f>
        <v>-0.93999500000001035</v>
      </c>
      <c r="I275">
        <f t="shared" si="19"/>
        <v>-1.3499979999999994</v>
      </c>
      <c r="J275">
        <f t="shared" si="18"/>
        <v>0</v>
      </c>
    </row>
    <row r="276" spans="1:10" x14ac:dyDescent="0.25">
      <c r="A276" s="2">
        <v>42404</v>
      </c>
      <c r="B276" s="3">
        <v>95.860000999999997</v>
      </c>
      <c r="C276" s="3">
        <v>97.330001999999993</v>
      </c>
      <c r="D276" s="3">
        <v>95.190002000000007</v>
      </c>
      <c r="E276" s="3">
        <v>96.599997999999999</v>
      </c>
      <c r="F276" s="8">
        <f t="shared" si="16"/>
        <v>95.552666799999997</v>
      </c>
      <c r="G276" s="7">
        <f t="shared" si="17"/>
        <v>0.73999700000000246</v>
      </c>
      <c r="H276" s="5">
        <f>interpolation(F275,$G$7:G275,$F$6:F274,$M$7)</f>
        <v>1.3499979999999994</v>
      </c>
      <c r="I276">
        <f t="shared" si="19"/>
        <v>0.73999700000000246</v>
      </c>
      <c r="J276">
        <f t="shared" si="18"/>
        <v>1</v>
      </c>
    </row>
    <row r="277" spans="1:10" x14ac:dyDescent="0.25">
      <c r="A277" s="2">
        <v>42405</v>
      </c>
      <c r="B277" s="3">
        <v>96.519997000000004</v>
      </c>
      <c r="C277" s="3">
        <v>96.919998000000007</v>
      </c>
      <c r="D277" s="3">
        <v>93.690002000000007</v>
      </c>
      <c r="E277" s="3">
        <v>94.019997000000004</v>
      </c>
      <c r="F277" s="8">
        <f t="shared" si="16"/>
        <v>95.889999066666675</v>
      </c>
      <c r="G277" s="7">
        <f t="shared" si="17"/>
        <v>-2.5</v>
      </c>
      <c r="H277" s="5">
        <f>interpolation(F276,$G$7:G276,$F$6:F275,$M$7)</f>
        <v>-5.3003076044627305E-3</v>
      </c>
      <c r="I277">
        <f t="shared" si="19"/>
        <v>2.5</v>
      </c>
      <c r="J277">
        <f t="shared" si="18"/>
        <v>1</v>
      </c>
    </row>
    <row r="278" spans="1:10" x14ac:dyDescent="0.25">
      <c r="A278" s="2">
        <v>42408</v>
      </c>
      <c r="B278" s="3">
        <v>93.129997000000003</v>
      </c>
      <c r="C278" s="3">
        <v>95.699996999999996</v>
      </c>
      <c r="D278" s="3">
        <v>93.040001000000004</v>
      </c>
      <c r="E278" s="3">
        <v>95.010002</v>
      </c>
      <c r="F278" s="8">
        <f t="shared" si="16"/>
        <v>94.981998266666679</v>
      </c>
      <c r="G278" s="7">
        <f t="shared" si="17"/>
        <v>1.880004999999997</v>
      </c>
      <c r="H278" s="5">
        <f>interpolation(F277,$G$7:G277,$F$6:F276,$M$7)</f>
        <v>-0.10290945548498399</v>
      </c>
      <c r="I278">
        <f t="shared" si="19"/>
        <v>-1.880004999999997</v>
      </c>
      <c r="J278">
        <f t="shared" si="18"/>
        <v>0</v>
      </c>
    </row>
    <row r="279" spans="1:10" x14ac:dyDescent="0.25">
      <c r="A279" s="2">
        <v>42409</v>
      </c>
      <c r="B279" s="3">
        <v>94.290001000000004</v>
      </c>
      <c r="C279" s="3">
        <v>95.940002000000007</v>
      </c>
      <c r="D279" s="3">
        <v>93.93</v>
      </c>
      <c r="E279" s="3">
        <v>94.989998</v>
      </c>
      <c r="F279" s="8">
        <f t="shared" si="16"/>
        <v>94.683332400000012</v>
      </c>
      <c r="G279" s="7">
        <f t="shared" si="17"/>
        <v>0.69999699999999621</v>
      </c>
      <c r="H279" s="5">
        <f>interpolation(F278,$G$7:G278,$F$6:F277,$M$7)</f>
        <v>0.73999700000000246</v>
      </c>
      <c r="I279">
        <f t="shared" si="19"/>
        <v>0.69999699999999621</v>
      </c>
      <c r="J279">
        <f t="shared" si="18"/>
        <v>1</v>
      </c>
    </row>
    <row r="280" spans="1:10" x14ac:dyDescent="0.25">
      <c r="A280" s="2">
        <v>42410</v>
      </c>
      <c r="B280" s="3">
        <v>95.919998000000007</v>
      </c>
      <c r="C280" s="3">
        <v>96.349997999999999</v>
      </c>
      <c r="D280" s="3">
        <v>94.099997999999999</v>
      </c>
      <c r="E280" s="3">
        <v>94.269997000000004</v>
      </c>
      <c r="F280" s="8">
        <f t="shared" si="16"/>
        <v>95.003332000000015</v>
      </c>
      <c r="G280" s="7">
        <f t="shared" si="17"/>
        <v>-1.6500010000000032</v>
      </c>
      <c r="H280" s="5">
        <f>interpolation(F279,$G$7:G279,$F$6:F278,$M$7)</f>
        <v>0.69999699999999621</v>
      </c>
      <c r="I280">
        <f t="shared" si="19"/>
        <v>-1.6500010000000032</v>
      </c>
      <c r="J280">
        <f t="shared" si="18"/>
        <v>0</v>
      </c>
    </row>
    <row r="281" spans="1:10" x14ac:dyDescent="0.25">
      <c r="A281" s="2">
        <v>42411</v>
      </c>
      <c r="B281" s="3">
        <v>93.790001000000004</v>
      </c>
      <c r="C281" s="3">
        <v>94.720000999999996</v>
      </c>
      <c r="D281" s="3">
        <v>92.589995999999999</v>
      </c>
      <c r="E281" s="3">
        <v>93.699996999999996</v>
      </c>
      <c r="F281" s="8">
        <f t="shared" si="16"/>
        <v>94.551999399999985</v>
      </c>
      <c r="G281" s="7">
        <f t="shared" si="17"/>
        <v>-9.0004000000007522E-2</v>
      </c>
      <c r="H281" s="5">
        <f>interpolation(F280,$G$7:G280,$F$6:F279,$M$7)</f>
        <v>0.70270316808709343</v>
      </c>
      <c r="I281">
        <f t="shared" si="19"/>
        <v>-9.0004000000007522E-2</v>
      </c>
      <c r="J281">
        <f t="shared" si="18"/>
        <v>0</v>
      </c>
    </row>
    <row r="282" spans="1:10" x14ac:dyDescent="0.25">
      <c r="A282" s="2">
        <v>42412</v>
      </c>
      <c r="B282" s="3">
        <v>94.190002000000007</v>
      </c>
      <c r="C282" s="3">
        <v>94.5</v>
      </c>
      <c r="D282" s="3">
        <v>93.010002</v>
      </c>
      <c r="E282" s="3">
        <v>93.989998</v>
      </c>
      <c r="F282" s="8">
        <f t="shared" si="16"/>
        <v>94.372000466666663</v>
      </c>
      <c r="G282" s="7">
        <f t="shared" si="17"/>
        <v>-0.20000400000000695</v>
      </c>
      <c r="H282" s="5">
        <f>interpolation(F281,$G$7:G281,$F$6:F280,$M$7)</f>
        <v>-1.6500010000000032</v>
      </c>
      <c r="I282">
        <f t="shared" si="19"/>
        <v>0.20000400000000695</v>
      </c>
      <c r="J282">
        <f t="shared" si="18"/>
        <v>1</v>
      </c>
    </row>
    <row r="283" spans="1:10" x14ac:dyDescent="0.25">
      <c r="A283" s="2">
        <v>42416</v>
      </c>
      <c r="B283" s="3">
        <v>95.019997000000004</v>
      </c>
      <c r="C283" s="3">
        <v>96.849997999999999</v>
      </c>
      <c r="D283" s="3">
        <v>94.610000999999997</v>
      </c>
      <c r="E283" s="3">
        <v>96.639999000000003</v>
      </c>
      <c r="F283" s="8">
        <f t="shared" si="16"/>
        <v>94.623999533333333</v>
      </c>
      <c r="G283" s="7">
        <f t="shared" si="17"/>
        <v>1.6200019999999995</v>
      </c>
      <c r="H283" s="5">
        <f>interpolation(F282,$G$7:G282,$F$6:F281,$M$7)</f>
        <v>-0.20000400000000695</v>
      </c>
      <c r="I283">
        <f t="shared" si="19"/>
        <v>-1.6200019999999995</v>
      </c>
      <c r="J283">
        <f t="shared" si="18"/>
        <v>0</v>
      </c>
    </row>
    <row r="284" spans="1:10" x14ac:dyDescent="0.25">
      <c r="A284" s="2">
        <v>42417</v>
      </c>
      <c r="B284" s="3">
        <v>96.669998000000007</v>
      </c>
      <c r="C284" s="3">
        <v>98.209998999999996</v>
      </c>
      <c r="D284" s="3">
        <v>96.150002000000001</v>
      </c>
      <c r="E284" s="3">
        <v>98.120002999999997</v>
      </c>
      <c r="F284" s="8">
        <f t="shared" si="16"/>
        <v>95.299998933333342</v>
      </c>
      <c r="G284" s="7">
        <f t="shared" si="17"/>
        <v>1.4500049999999902</v>
      </c>
      <c r="H284" s="5">
        <f>interpolation(F283,$G$7:G283,$F$6:F282,$M$7)</f>
        <v>-0.99492970285406546</v>
      </c>
      <c r="I284">
        <f t="shared" si="19"/>
        <v>-1.4500049999999902</v>
      </c>
      <c r="J284">
        <f t="shared" si="18"/>
        <v>0</v>
      </c>
    </row>
    <row r="285" spans="1:10" x14ac:dyDescent="0.25">
      <c r="A285" s="2">
        <v>42418</v>
      </c>
      <c r="B285" s="3">
        <v>98.839995999999999</v>
      </c>
      <c r="C285" s="3">
        <v>98.889999000000003</v>
      </c>
      <c r="D285" s="3">
        <v>96.089995999999999</v>
      </c>
      <c r="E285" s="3">
        <v>96.260002</v>
      </c>
      <c r="F285" s="8">
        <f t="shared" si="16"/>
        <v>96.540664533333342</v>
      </c>
      <c r="G285" s="7">
        <f t="shared" si="17"/>
        <v>-2.5799939999999992</v>
      </c>
      <c r="H285" s="5">
        <f>interpolation(F284,$G$7:G284,$F$6:F283,$M$7)</f>
        <v>0.75615028985399169</v>
      </c>
      <c r="I285">
        <f t="shared" si="19"/>
        <v>-2.5799939999999992</v>
      </c>
      <c r="J285">
        <f t="shared" si="18"/>
        <v>0</v>
      </c>
    </row>
    <row r="286" spans="1:10" x14ac:dyDescent="0.25">
      <c r="A286" s="2">
        <v>42419</v>
      </c>
      <c r="B286" s="3">
        <v>96</v>
      </c>
      <c r="C286" s="3">
        <v>96.760002</v>
      </c>
      <c r="D286" s="3">
        <v>95.800003000000004</v>
      </c>
      <c r="E286" s="3">
        <v>96.040001000000004</v>
      </c>
      <c r="F286" s="8">
        <f t="shared" si="16"/>
        <v>96.639998266666666</v>
      </c>
      <c r="G286" s="7">
        <f t="shared" si="17"/>
        <v>4.0001000000003728E-2</v>
      </c>
      <c r="H286" s="5">
        <f>interpolation(F285,$G$7:G285,$F$6:F284,$M$7)</f>
        <v>2.0802631652783883</v>
      </c>
      <c r="I286">
        <f t="shared" si="19"/>
        <v>4.0001000000003728E-2</v>
      </c>
      <c r="J286">
        <f t="shared" si="18"/>
        <v>1</v>
      </c>
    </row>
    <row r="287" spans="1:10" x14ac:dyDescent="0.25">
      <c r="A287" s="2">
        <v>42422</v>
      </c>
      <c r="B287" s="3">
        <v>96.309997999999993</v>
      </c>
      <c r="C287" s="3">
        <v>96.900002000000001</v>
      </c>
      <c r="D287" s="3">
        <v>95.919998000000007</v>
      </c>
      <c r="E287" s="3">
        <v>96.879997000000003</v>
      </c>
      <c r="F287" s="8">
        <f t="shared" si="16"/>
        <v>96.695331400000001</v>
      </c>
      <c r="G287" s="7">
        <f t="shared" si="17"/>
        <v>0.56999900000000991</v>
      </c>
      <c r="H287" s="5">
        <f>interpolation(F286,$G$7:G286,$F$6:F285,$M$7)</f>
        <v>1.3285205025563531</v>
      </c>
      <c r="I287">
        <f t="shared" si="19"/>
        <v>0.56999900000000991</v>
      </c>
      <c r="J287">
        <f t="shared" si="18"/>
        <v>1</v>
      </c>
    </row>
    <row r="288" spans="1:10" x14ac:dyDescent="0.25">
      <c r="A288" s="2">
        <v>42423</v>
      </c>
      <c r="B288" s="3">
        <v>96.400002000000001</v>
      </c>
      <c r="C288" s="3">
        <v>96.5</v>
      </c>
      <c r="D288" s="3">
        <v>94.550003000000004</v>
      </c>
      <c r="E288" s="3">
        <v>94.690002000000007</v>
      </c>
      <c r="F288" s="8">
        <f t="shared" si="16"/>
        <v>96.639332799999991</v>
      </c>
      <c r="G288" s="7">
        <f t="shared" si="17"/>
        <v>-1.7099999999999937</v>
      </c>
      <c r="H288" s="5">
        <f>interpolation(F287,$G$7:G287,$F$6:F286,$M$7)</f>
        <v>1.6602835126007915</v>
      </c>
      <c r="I288">
        <f t="shared" si="19"/>
        <v>-1.7099999999999937</v>
      </c>
      <c r="J288">
        <f t="shared" si="18"/>
        <v>0</v>
      </c>
    </row>
    <row r="289" spans="1:10" x14ac:dyDescent="0.25">
      <c r="A289" s="2">
        <v>42424</v>
      </c>
      <c r="B289" s="3">
        <v>93.980002999999996</v>
      </c>
      <c r="C289" s="3">
        <v>96.379997000000003</v>
      </c>
      <c r="D289" s="3">
        <v>93.32</v>
      </c>
      <c r="E289" s="3">
        <v>96.099997999999999</v>
      </c>
      <c r="F289" s="8">
        <f t="shared" si="16"/>
        <v>95.684667533333339</v>
      </c>
      <c r="G289" s="7">
        <f t="shared" si="17"/>
        <v>2.119995000000003</v>
      </c>
      <c r="H289" s="5">
        <f>interpolation(F288,$G$7:G288,$F$6:F287,$M$7)</f>
        <v>0.56644838340110693</v>
      </c>
      <c r="I289">
        <f t="shared" si="19"/>
        <v>2.119995000000003</v>
      </c>
      <c r="J289">
        <f t="shared" si="18"/>
        <v>1</v>
      </c>
    </row>
    <row r="290" spans="1:10" x14ac:dyDescent="0.25">
      <c r="A290" s="2">
        <v>42425</v>
      </c>
      <c r="B290" s="3">
        <v>96.050003000000004</v>
      </c>
      <c r="C290" s="3">
        <v>96.760002</v>
      </c>
      <c r="D290" s="3">
        <v>95.25</v>
      </c>
      <c r="E290" s="3">
        <v>96.760002</v>
      </c>
      <c r="F290" s="8">
        <f t="shared" si="16"/>
        <v>95.599335266666671</v>
      </c>
      <c r="G290" s="7">
        <f t="shared" si="17"/>
        <v>0.70999899999999627</v>
      </c>
      <c r="H290" s="5">
        <f>interpolation(F289,$G$7:G289,$F$6:F288,$M$7)</f>
        <v>-0.63028232602464906</v>
      </c>
      <c r="I290">
        <f t="shared" si="19"/>
        <v>-0.70999899999999627</v>
      </c>
      <c r="J290">
        <f t="shared" si="18"/>
        <v>0</v>
      </c>
    </row>
    <row r="291" spans="1:10" x14ac:dyDescent="0.25">
      <c r="A291" s="2">
        <v>42426</v>
      </c>
      <c r="B291" s="3">
        <v>97.199996999999996</v>
      </c>
      <c r="C291" s="3">
        <v>98.019997000000004</v>
      </c>
      <c r="D291" s="3">
        <v>96.580001999999993</v>
      </c>
      <c r="E291" s="3">
        <v>96.910004000000001</v>
      </c>
      <c r="F291" s="8">
        <f t="shared" si="16"/>
        <v>96.083333866666663</v>
      </c>
      <c r="G291" s="7">
        <f t="shared" si="17"/>
        <v>-0.2899929999999955</v>
      </c>
      <c r="H291" s="5">
        <f>interpolation(F290,$G$7:G290,$F$6:F289,$M$7)</f>
        <v>-1.817476606341055</v>
      </c>
      <c r="I291">
        <f t="shared" si="19"/>
        <v>0.2899929999999955</v>
      </c>
      <c r="J291">
        <f t="shared" si="18"/>
        <v>1</v>
      </c>
    </row>
    <row r="292" spans="1:10" x14ac:dyDescent="0.25">
      <c r="A292" s="2">
        <v>42429</v>
      </c>
      <c r="B292" s="3">
        <v>96.860000999999997</v>
      </c>
      <c r="C292" s="3">
        <v>98.230002999999996</v>
      </c>
      <c r="D292" s="3">
        <v>96.650002000000001</v>
      </c>
      <c r="E292" s="3">
        <v>96.690002000000007</v>
      </c>
      <c r="F292" s="8">
        <f t="shared" si="16"/>
        <v>96.374000666666674</v>
      </c>
      <c r="G292" s="7">
        <f t="shared" si="17"/>
        <v>-0.16999899999999002</v>
      </c>
      <c r="H292" s="5">
        <f>interpolation(F291,$G$7:G291,$F$6:F290,$M$7)</f>
        <v>-1.7768777734822345E-2</v>
      </c>
      <c r="I292">
        <f t="shared" si="19"/>
        <v>0.16999899999999002</v>
      </c>
      <c r="J292">
        <f t="shared" si="18"/>
        <v>1</v>
      </c>
    </row>
    <row r="293" spans="1:10" x14ac:dyDescent="0.25">
      <c r="A293" s="2">
        <v>42430</v>
      </c>
      <c r="B293" s="3">
        <v>97.650002000000001</v>
      </c>
      <c r="C293" s="3">
        <v>100.769997</v>
      </c>
      <c r="D293" s="3">
        <v>97.419998000000007</v>
      </c>
      <c r="E293" s="3">
        <v>100.529999</v>
      </c>
      <c r="F293" s="8">
        <f t="shared" si="16"/>
        <v>96.891334266666675</v>
      </c>
      <c r="G293" s="7">
        <f t="shared" si="17"/>
        <v>2.879997000000003</v>
      </c>
      <c r="H293" s="5">
        <f>interpolation(F292,$G$7:G292,$F$6:F291,$M$7)</f>
        <v>-3.6528772768346617E-2</v>
      </c>
      <c r="I293">
        <f t="shared" si="19"/>
        <v>-2.879997000000003</v>
      </c>
      <c r="J293">
        <f t="shared" si="18"/>
        <v>0</v>
      </c>
    </row>
    <row r="294" spans="1:10" x14ac:dyDescent="0.25">
      <c r="A294" s="2">
        <v>42431</v>
      </c>
      <c r="B294" s="3">
        <v>100.510002</v>
      </c>
      <c r="C294" s="3">
        <v>100.889999</v>
      </c>
      <c r="D294" s="3">
        <v>99.639999000000003</v>
      </c>
      <c r="E294" s="3">
        <v>100.75</v>
      </c>
      <c r="F294" s="8">
        <f t="shared" si="16"/>
        <v>98.278667866666666</v>
      </c>
      <c r="G294" s="7">
        <f t="shared" si="17"/>
        <v>0.23999799999999993</v>
      </c>
      <c r="H294" s="5">
        <f>interpolation(F293,$G$7:G293,$F$6:F292,$M$7)</f>
        <v>4.4995211953174095E-2</v>
      </c>
      <c r="I294">
        <f t="shared" si="19"/>
        <v>0.23999799999999993</v>
      </c>
      <c r="J294">
        <f t="shared" si="18"/>
        <v>1</v>
      </c>
    </row>
    <row r="295" spans="1:10" x14ac:dyDescent="0.25">
      <c r="A295" s="2">
        <v>42432</v>
      </c>
      <c r="B295" s="3">
        <v>100.58000199999999</v>
      </c>
      <c r="C295" s="3">
        <v>101.709999</v>
      </c>
      <c r="D295" s="3">
        <v>100.449997</v>
      </c>
      <c r="E295" s="3">
        <v>101.5</v>
      </c>
      <c r="F295" s="8">
        <f t="shared" si="16"/>
        <v>99.254001533333337</v>
      </c>
      <c r="G295" s="7">
        <f t="shared" si="17"/>
        <v>0.91999800000000675</v>
      </c>
      <c r="H295" s="5">
        <f>interpolation(F294,$G$7:G294,$F$6:F293,$M$7)</f>
        <v>-1.6210831744726282</v>
      </c>
      <c r="I295">
        <f t="shared" si="19"/>
        <v>-0.91999800000000675</v>
      </c>
      <c r="J295">
        <f t="shared" si="18"/>
        <v>0</v>
      </c>
    </row>
    <row r="296" spans="1:10" x14ac:dyDescent="0.25">
      <c r="A296" s="2">
        <v>42433</v>
      </c>
      <c r="B296" s="3">
        <v>102.370003</v>
      </c>
      <c r="C296" s="3">
        <v>103.75</v>
      </c>
      <c r="D296" s="3">
        <v>101.370003</v>
      </c>
      <c r="E296" s="3">
        <v>103.010002</v>
      </c>
      <c r="F296" s="8">
        <f t="shared" si="16"/>
        <v>100.52400226666667</v>
      </c>
      <c r="G296" s="7">
        <f t="shared" si="17"/>
        <v>0.63999900000000309</v>
      </c>
      <c r="H296" s="5">
        <f>interpolation(F295,$G$7:G295,$F$6:F294,$M$7)</f>
        <v>0.88120566475924134</v>
      </c>
      <c r="I296">
        <f t="shared" si="19"/>
        <v>0.63999900000000309</v>
      </c>
      <c r="J296">
        <f t="shared" si="18"/>
        <v>1</v>
      </c>
    </row>
    <row r="297" spans="1:10" x14ac:dyDescent="0.25">
      <c r="A297" s="2">
        <v>42436</v>
      </c>
      <c r="B297" s="3">
        <v>102.389999</v>
      </c>
      <c r="C297" s="3">
        <v>102.83000199999999</v>
      </c>
      <c r="D297" s="3">
        <v>100.959999</v>
      </c>
      <c r="E297" s="3">
        <v>101.870003</v>
      </c>
      <c r="F297" s="8">
        <f t="shared" si="16"/>
        <v>101.45600126666666</v>
      </c>
      <c r="G297" s="7">
        <f t="shared" si="17"/>
        <v>-0.51999600000000612</v>
      </c>
      <c r="H297" s="5">
        <f>interpolation(F296,$G$7:G296,$F$6:F295,$M$7)</f>
        <v>-0.68199834894770883</v>
      </c>
      <c r="I297">
        <f t="shared" si="19"/>
        <v>0.51999600000000612</v>
      </c>
      <c r="J297">
        <f t="shared" si="18"/>
        <v>1</v>
      </c>
    </row>
    <row r="298" spans="1:10" x14ac:dyDescent="0.25">
      <c r="A298" s="2">
        <v>42437</v>
      </c>
      <c r="B298" s="3">
        <v>100.779999</v>
      </c>
      <c r="C298" s="3">
        <v>101.760002</v>
      </c>
      <c r="D298" s="3">
        <v>100.400002</v>
      </c>
      <c r="E298" s="3">
        <v>101.029999</v>
      </c>
      <c r="F298" s="8">
        <f t="shared" si="16"/>
        <v>101.48266706666666</v>
      </c>
      <c r="G298" s="7">
        <f t="shared" si="17"/>
        <v>0.25</v>
      </c>
      <c r="H298" s="5">
        <f>interpolation(F297,$G$7:G297,$F$6:F296,$M$7)</f>
        <v>-1.3866662620712569</v>
      </c>
      <c r="I298">
        <f t="shared" si="19"/>
        <v>-0.25</v>
      </c>
      <c r="J298">
        <f t="shared" si="18"/>
        <v>0</v>
      </c>
    </row>
    <row r="299" spans="1:10" x14ac:dyDescent="0.25">
      <c r="A299" s="2">
        <v>42438</v>
      </c>
      <c r="B299" s="3">
        <v>101.30999799999999</v>
      </c>
      <c r="C299" s="3">
        <v>101.58000199999999</v>
      </c>
      <c r="D299" s="3">
        <v>100.269997</v>
      </c>
      <c r="E299" s="3">
        <v>101.120003</v>
      </c>
      <c r="F299" s="8">
        <f t="shared" si="16"/>
        <v>101.47733273333333</v>
      </c>
      <c r="G299" s="7">
        <f t="shared" si="17"/>
        <v>-0.18999499999999614</v>
      </c>
      <c r="H299" s="5">
        <f>interpolation(F298,$G$7:G298,$F$6:F297,$M$7)</f>
        <v>2.5614987559956053E-2</v>
      </c>
      <c r="I299">
        <f t="shared" si="19"/>
        <v>-0.18999499999999614</v>
      </c>
      <c r="J299">
        <f t="shared" si="18"/>
        <v>0</v>
      </c>
    </row>
    <row r="300" spans="1:10" x14ac:dyDescent="0.25">
      <c r="A300" s="2">
        <v>42439</v>
      </c>
      <c r="B300" s="3">
        <v>101.410004</v>
      </c>
      <c r="C300" s="3">
        <v>102.239998</v>
      </c>
      <c r="D300" s="3">
        <v>100.150002</v>
      </c>
      <c r="E300" s="3">
        <v>101.16999800000001</v>
      </c>
      <c r="F300" s="8">
        <f t="shared" si="16"/>
        <v>101.45200066666666</v>
      </c>
      <c r="G300" s="7">
        <f t="shared" si="17"/>
        <v>-0.24000599999999395</v>
      </c>
      <c r="H300" s="5">
        <f>interpolation(F299,$G$7:G299,$F$6:F298,$M$7)</f>
        <v>-0.10197663959072932</v>
      </c>
      <c r="I300">
        <f t="shared" si="19"/>
        <v>0.24000599999999395</v>
      </c>
      <c r="J300">
        <f t="shared" si="18"/>
        <v>1</v>
      </c>
    </row>
    <row r="301" spans="1:10" x14ac:dyDescent="0.25">
      <c r="A301" s="2">
        <v>42440</v>
      </c>
      <c r="B301" s="3">
        <v>102.239998</v>
      </c>
      <c r="C301" s="3">
        <v>102.279999</v>
      </c>
      <c r="D301" s="3">
        <v>101.5</v>
      </c>
      <c r="E301" s="3">
        <v>102.260002</v>
      </c>
      <c r="F301" s="8">
        <f t="shared" si="16"/>
        <v>101.64799980000001</v>
      </c>
      <c r="G301" s="7">
        <f t="shared" si="17"/>
        <v>2.0004000000000133E-2</v>
      </c>
      <c r="H301" s="5">
        <f>interpolation(F300,$G$7:G300,$F$6:F299,$M$7)</f>
        <v>0.24669479688540624</v>
      </c>
      <c r="I301">
        <f t="shared" si="19"/>
        <v>2.0004000000000133E-2</v>
      </c>
      <c r="J301">
        <f t="shared" si="18"/>
        <v>1</v>
      </c>
    </row>
    <row r="302" spans="1:10" x14ac:dyDescent="0.25">
      <c r="A302" s="2">
        <v>42443</v>
      </c>
      <c r="B302" s="3">
        <v>101.910004</v>
      </c>
      <c r="C302" s="3">
        <v>102.910004</v>
      </c>
      <c r="D302" s="3">
        <v>101.779999</v>
      </c>
      <c r="E302" s="3">
        <v>102.519997</v>
      </c>
      <c r="F302" s="8">
        <f t="shared" si="16"/>
        <v>101.74266793333332</v>
      </c>
      <c r="G302" s="7">
        <f t="shared" si="17"/>
        <v>0.60999300000000289</v>
      </c>
      <c r="H302" s="5">
        <f>interpolation(F301,$G$7:G301,$F$6:F300,$M$7)</f>
        <v>-1.3955581165104989</v>
      </c>
      <c r="I302">
        <f t="shared" si="19"/>
        <v>-0.60999300000000289</v>
      </c>
      <c r="J302">
        <f t="shared" si="18"/>
        <v>0</v>
      </c>
    </row>
    <row r="303" spans="1:10" x14ac:dyDescent="0.25">
      <c r="A303" s="2">
        <v>42444</v>
      </c>
      <c r="B303" s="3">
        <v>103.959999</v>
      </c>
      <c r="C303" s="3">
        <v>105.18</v>
      </c>
      <c r="D303" s="3">
        <v>103.849998</v>
      </c>
      <c r="E303" s="3">
        <v>104.58000199999999</v>
      </c>
      <c r="F303" s="8">
        <f t="shared" si="16"/>
        <v>102.5526674</v>
      </c>
      <c r="G303" s="7">
        <f t="shared" si="17"/>
        <v>0.62000299999999697</v>
      </c>
      <c r="H303" s="5">
        <f>interpolation(F302,$G$7:G302,$F$6:F301,$M$7)</f>
        <v>-1.6109880449059768</v>
      </c>
      <c r="I303">
        <f t="shared" si="19"/>
        <v>-0.62000299999999697</v>
      </c>
      <c r="J303">
        <f t="shared" si="18"/>
        <v>0</v>
      </c>
    </row>
    <row r="304" spans="1:10" x14ac:dyDescent="0.25">
      <c r="A304" s="2">
        <v>42445</v>
      </c>
      <c r="B304" s="3">
        <v>104.610001</v>
      </c>
      <c r="C304" s="3">
        <v>106.30999799999999</v>
      </c>
      <c r="D304" s="3">
        <v>104.589996</v>
      </c>
      <c r="E304" s="3">
        <v>105.970001</v>
      </c>
      <c r="F304" s="8">
        <f t="shared" si="16"/>
        <v>103.3673342</v>
      </c>
      <c r="G304" s="7">
        <f t="shared" si="17"/>
        <v>1.3599999999999994</v>
      </c>
      <c r="H304" s="5">
        <f>interpolation(F303,$G$7:G303,$F$6:F302,$M$7)</f>
        <v>-0.53079703708718851</v>
      </c>
      <c r="I304">
        <f t="shared" si="19"/>
        <v>-1.3599999999999994</v>
      </c>
      <c r="J304">
        <f t="shared" si="18"/>
        <v>0</v>
      </c>
    </row>
    <row r="305" spans="1:10" x14ac:dyDescent="0.25">
      <c r="A305" s="2">
        <v>42446</v>
      </c>
      <c r="B305" s="3">
        <v>105.519997</v>
      </c>
      <c r="C305" s="3">
        <v>106.470001</v>
      </c>
      <c r="D305" s="3">
        <v>104.959999</v>
      </c>
      <c r="E305" s="3">
        <v>105.800003</v>
      </c>
      <c r="F305" s="8">
        <f t="shared" si="16"/>
        <v>104.2653328</v>
      </c>
      <c r="G305" s="7">
        <f t="shared" si="17"/>
        <v>0.2800060000000002</v>
      </c>
      <c r="H305" s="5">
        <f>interpolation(F304,$G$7:G304,$F$6:F303,$M$7)</f>
        <v>-1.0853663982387518</v>
      </c>
      <c r="I305">
        <f t="shared" si="19"/>
        <v>-0.2800060000000002</v>
      </c>
      <c r="J305">
        <f t="shared" si="18"/>
        <v>0</v>
      </c>
    </row>
    <row r="306" spans="1:10" x14ac:dyDescent="0.25">
      <c r="A306" s="2">
        <v>42447</v>
      </c>
      <c r="B306" s="3">
        <v>106.339996</v>
      </c>
      <c r="C306" s="3">
        <v>106.5</v>
      </c>
      <c r="D306" s="3">
        <v>105.19000200000001</v>
      </c>
      <c r="E306" s="3">
        <v>105.91999800000001</v>
      </c>
      <c r="F306" s="8">
        <f t="shared" si="16"/>
        <v>105.16266486666667</v>
      </c>
      <c r="G306" s="7">
        <f t="shared" si="17"/>
        <v>-0.41999799999999254</v>
      </c>
      <c r="H306" s="5">
        <f>interpolation(F305,$G$7:G305,$F$6:F304,$M$7)</f>
        <v>-1.5765882094564627</v>
      </c>
      <c r="I306">
        <f t="shared" si="19"/>
        <v>0.41999799999999254</v>
      </c>
      <c r="J306">
        <f t="shared" si="18"/>
        <v>1</v>
      </c>
    </row>
    <row r="307" spans="1:10" x14ac:dyDescent="0.25">
      <c r="A307" s="2">
        <v>42450</v>
      </c>
      <c r="B307" s="3">
        <v>105.93</v>
      </c>
      <c r="C307" s="3">
        <v>107.650002</v>
      </c>
      <c r="D307" s="3">
        <v>105.139999</v>
      </c>
      <c r="E307" s="3">
        <v>105.910004</v>
      </c>
      <c r="F307" s="8">
        <f t="shared" si="16"/>
        <v>105.6499984</v>
      </c>
      <c r="G307" s="7">
        <f t="shared" si="17"/>
        <v>-1.999600000000612E-2</v>
      </c>
      <c r="H307" s="5">
        <f>interpolation(F306,$G$7:G306,$F$6:F305,$M$7)</f>
        <v>-4.9784777722027038E-2</v>
      </c>
      <c r="I307">
        <f t="shared" si="19"/>
        <v>1.999600000000612E-2</v>
      </c>
      <c r="J307">
        <f t="shared" si="18"/>
        <v>1</v>
      </c>
    </row>
    <row r="308" spans="1:10" x14ac:dyDescent="0.25">
      <c r="A308" s="2">
        <v>42451</v>
      </c>
      <c r="B308" s="3">
        <v>105.25</v>
      </c>
      <c r="C308" s="3">
        <v>107.290001</v>
      </c>
      <c r="D308" s="3">
        <v>105.209999</v>
      </c>
      <c r="E308" s="3">
        <v>106.720001</v>
      </c>
      <c r="F308" s="8">
        <f t="shared" si="16"/>
        <v>105.64266553333333</v>
      </c>
      <c r="G308" s="7">
        <f t="shared" si="17"/>
        <v>1.4700009999999963</v>
      </c>
      <c r="H308" s="5">
        <f>interpolation(F307,$G$7:G307,$F$6:F306,$M$7)</f>
        <v>-0.18592158500008163</v>
      </c>
      <c r="I308">
        <f t="shared" si="19"/>
        <v>-1.4700009999999963</v>
      </c>
      <c r="J308">
        <f t="shared" si="18"/>
        <v>0</v>
      </c>
    </row>
    <row r="309" spans="1:10" x14ac:dyDescent="0.25">
      <c r="A309" s="2">
        <v>42452</v>
      </c>
      <c r="B309" s="3">
        <v>106.480003</v>
      </c>
      <c r="C309" s="3">
        <v>107.07</v>
      </c>
      <c r="D309" s="3">
        <v>105.900002</v>
      </c>
      <c r="E309" s="3">
        <v>106.129997</v>
      </c>
      <c r="F309" s="8">
        <f t="shared" si="16"/>
        <v>105.95933360000001</v>
      </c>
      <c r="G309" s="7">
        <f t="shared" si="17"/>
        <v>-0.35000599999999338</v>
      </c>
      <c r="H309" s="5">
        <f>interpolation(F308,$G$7:G308,$F$6:F307,$M$7)</f>
        <v>1.1131616999019891</v>
      </c>
      <c r="I309">
        <f t="shared" si="19"/>
        <v>-0.35000599999999338</v>
      </c>
      <c r="J309">
        <f t="shared" si="18"/>
        <v>0</v>
      </c>
    </row>
    <row r="310" spans="1:10" x14ac:dyDescent="0.25">
      <c r="A310" s="2">
        <v>42453</v>
      </c>
      <c r="B310" s="3">
        <v>105.470001</v>
      </c>
      <c r="C310" s="3">
        <v>106.25</v>
      </c>
      <c r="D310" s="3">
        <v>104.889999</v>
      </c>
      <c r="E310" s="3">
        <v>105.66999800000001</v>
      </c>
      <c r="F310" s="8">
        <f t="shared" si="16"/>
        <v>105.81466753333333</v>
      </c>
      <c r="G310" s="7">
        <f t="shared" si="17"/>
        <v>0.19999700000001042</v>
      </c>
      <c r="H310" s="5">
        <f>interpolation(F309,$G$7:G309,$F$6:F308,$M$7)</f>
        <v>-2.6871659926966851</v>
      </c>
      <c r="I310">
        <f t="shared" si="19"/>
        <v>-0.19999700000001042</v>
      </c>
      <c r="J310">
        <f t="shared" si="18"/>
        <v>0</v>
      </c>
    </row>
    <row r="311" spans="1:10" x14ac:dyDescent="0.25">
      <c r="A311" s="2">
        <v>42457</v>
      </c>
      <c r="B311" s="3">
        <v>106</v>
      </c>
      <c r="C311" s="3">
        <v>106.19000200000001</v>
      </c>
      <c r="D311" s="3">
        <v>105.05999799999999</v>
      </c>
      <c r="E311" s="3">
        <v>105.19000200000001</v>
      </c>
      <c r="F311" s="8">
        <f t="shared" si="16"/>
        <v>105.85000086666666</v>
      </c>
      <c r="G311" s="7">
        <f t="shared" si="17"/>
        <v>-0.80999799999999311</v>
      </c>
      <c r="H311" s="5">
        <f>interpolation(F310,$G$7:G310,$F$6:F309,$M$7)</f>
        <v>-1.6329953786095806</v>
      </c>
      <c r="I311">
        <f t="shared" si="19"/>
        <v>0.80999799999999311</v>
      </c>
      <c r="J311">
        <f t="shared" si="18"/>
        <v>1</v>
      </c>
    </row>
    <row r="312" spans="1:10" x14ac:dyDescent="0.25">
      <c r="A312" s="2">
        <v>42458</v>
      </c>
      <c r="B312" s="3">
        <v>104.889999</v>
      </c>
      <c r="C312" s="3">
        <v>107.790001</v>
      </c>
      <c r="D312" s="3">
        <v>104.879997</v>
      </c>
      <c r="E312" s="3">
        <v>107.68</v>
      </c>
      <c r="F312" s="8">
        <f t="shared" si="16"/>
        <v>105.53800026666667</v>
      </c>
      <c r="G312" s="7">
        <f t="shared" si="17"/>
        <v>2.7900010000000037</v>
      </c>
      <c r="H312" s="5">
        <f>interpolation(F311,$G$7:G311,$F$6:F310,$M$7)</f>
        <v>-1.8652672767856329</v>
      </c>
      <c r="I312">
        <f t="shared" si="19"/>
        <v>-2.7900010000000037</v>
      </c>
      <c r="J312">
        <f t="shared" si="18"/>
        <v>0</v>
      </c>
    </row>
    <row r="313" spans="1:10" x14ac:dyDescent="0.25">
      <c r="A313" s="2">
        <v>42459</v>
      </c>
      <c r="B313" s="3">
        <v>108.650002</v>
      </c>
      <c r="C313" s="3">
        <v>110.41999800000001</v>
      </c>
      <c r="D313" s="3">
        <v>108.599998</v>
      </c>
      <c r="E313" s="3">
        <v>109.55999799999999</v>
      </c>
      <c r="F313" s="8">
        <f t="shared" si="16"/>
        <v>106.54866739999999</v>
      </c>
      <c r="G313" s="7">
        <f t="shared" si="17"/>
        <v>0.90999599999999248</v>
      </c>
      <c r="H313" s="5">
        <f>interpolation(F312,$G$7:G312,$F$6:F311,$M$7)</f>
        <v>0.11055060695373195</v>
      </c>
      <c r="I313">
        <f t="shared" si="19"/>
        <v>0.90999599999999248</v>
      </c>
      <c r="J313">
        <f t="shared" si="18"/>
        <v>1</v>
      </c>
    </row>
    <row r="314" spans="1:10" x14ac:dyDescent="0.25">
      <c r="A314" s="2">
        <v>42460</v>
      </c>
      <c r="B314" s="3">
        <v>109.720001</v>
      </c>
      <c r="C314" s="3">
        <v>109.900002</v>
      </c>
      <c r="D314" s="3">
        <v>108.879997</v>
      </c>
      <c r="E314" s="3">
        <v>108.989998</v>
      </c>
      <c r="F314" s="8">
        <f t="shared" si="16"/>
        <v>107.68933406666666</v>
      </c>
      <c r="G314" s="7">
        <f t="shared" si="17"/>
        <v>-0.7300029999999964</v>
      </c>
      <c r="H314" s="5">
        <f>interpolation(F313,$G$7:G313,$F$6:F312,$M$7)</f>
        <v>0.63100094318620581</v>
      </c>
      <c r="I314">
        <f t="shared" si="19"/>
        <v>-0.7300029999999964</v>
      </c>
      <c r="J314">
        <f t="shared" si="18"/>
        <v>0</v>
      </c>
    </row>
    <row r="315" spans="1:10" x14ac:dyDescent="0.25">
      <c r="A315" s="2">
        <v>42461</v>
      </c>
      <c r="B315" s="3">
        <v>108.779999</v>
      </c>
      <c r="C315" s="3">
        <v>110</v>
      </c>
      <c r="D315" s="3">
        <v>108.199997</v>
      </c>
      <c r="E315" s="3">
        <v>109.989998</v>
      </c>
      <c r="F315" s="8">
        <f t="shared" si="16"/>
        <v>108.30066686666667</v>
      </c>
      <c r="G315" s="7">
        <f t="shared" si="17"/>
        <v>1.2099989999999963</v>
      </c>
      <c r="H315" s="5">
        <f>interpolation(F314,$G$7:G314,$F$6:F313,$M$7)</f>
        <v>1.6849577248552028</v>
      </c>
      <c r="I315">
        <f t="shared" si="19"/>
        <v>1.2099989999999963</v>
      </c>
      <c r="J315">
        <f t="shared" si="18"/>
        <v>1</v>
      </c>
    </row>
    <row r="316" spans="1:10" x14ac:dyDescent="0.25">
      <c r="A316" s="2">
        <v>42464</v>
      </c>
      <c r="B316" s="3">
        <v>110.41999800000001</v>
      </c>
      <c r="C316" s="3">
        <v>112.19000200000001</v>
      </c>
      <c r="D316" s="3">
        <v>110.269997</v>
      </c>
      <c r="E316" s="3">
        <v>111.120003</v>
      </c>
      <c r="F316" s="8">
        <f t="shared" si="16"/>
        <v>109.23799946666668</v>
      </c>
      <c r="G316" s="7">
        <f t="shared" si="17"/>
        <v>0.70000499999999022</v>
      </c>
      <c r="H316" s="5">
        <f>interpolation(F315,$G$7:G315,$F$6:F314,$M$7)</f>
        <v>1.5936902511431656</v>
      </c>
      <c r="I316">
        <f t="shared" si="19"/>
        <v>0.70000499999999022</v>
      </c>
      <c r="J316">
        <f t="shared" si="18"/>
        <v>1</v>
      </c>
    </row>
    <row r="317" spans="1:10" x14ac:dyDescent="0.25">
      <c r="A317" s="2">
        <v>42465</v>
      </c>
      <c r="B317" s="3">
        <v>109.510002</v>
      </c>
      <c r="C317" s="3">
        <v>110.730003</v>
      </c>
      <c r="D317" s="3">
        <v>109.41999800000001</v>
      </c>
      <c r="E317" s="3">
        <v>109.80999799999999</v>
      </c>
      <c r="F317" s="8">
        <f t="shared" si="16"/>
        <v>109.57733353333333</v>
      </c>
      <c r="G317" s="7">
        <f t="shared" si="17"/>
        <v>0.29999599999999305</v>
      </c>
      <c r="H317" s="5">
        <f>interpolation(F316,$G$7:G316,$F$6:F315,$M$7)</f>
        <v>0.83892852925027317</v>
      </c>
      <c r="I317">
        <f t="shared" si="19"/>
        <v>0.29999599999999305</v>
      </c>
      <c r="J317">
        <f t="shared" si="18"/>
        <v>1</v>
      </c>
    </row>
    <row r="318" spans="1:10" x14ac:dyDescent="0.25">
      <c r="A318" s="2">
        <v>42466</v>
      </c>
      <c r="B318" s="3">
        <v>110.230003</v>
      </c>
      <c r="C318" s="3">
        <v>110.980003</v>
      </c>
      <c r="D318" s="3">
        <v>109.199997</v>
      </c>
      <c r="E318" s="3">
        <v>110.959999</v>
      </c>
      <c r="F318" s="8">
        <f t="shared" si="16"/>
        <v>109.84866773333333</v>
      </c>
      <c r="G318" s="7">
        <f t="shared" si="17"/>
        <v>0.72999599999999987</v>
      </c>
      <c r="H318" s="5">
        <f>interpolation(F317,$G$7:G317,$F$6:F316,$M$7)</f>
        <v>-2.7828640533686384</v>
      </c>
      <c r="I318">
        <f t="shared" si="19"/>
        <v>-0.72999599999999987</v>
      </c>
      <c r="J318">
        <f t="shared" si="18"/>
        <v>0</v>
      </c>
    </row>
    <row r="319" spans="1:10" x14ac:dyDescent="0.25">
      <c r="A319" s="2">
        <v>42467</v>
      </c>
      <c r="B319" s="3">
        <v>109.949997</v>
      </c>
      <c r="C319" s="3">
        <v>110.41999800000001</v>
      </c>
      <c r="D319" s="3">
        <v>108.120003</v>
      </c>
      <c r="E319" s="3">
        <v>108.540001</v>
      </c>
      <c r="F319" s="8">
        <f t="shared" si="16"/>
        <v>109.92133319999999</v>
      </c>
      <c r="G319" s="7">
        <f t="shared" si="17"/>
        <v>-1.4099959999999925</v>
      </c>
      <c r="H319" s="5">
        <f>interpolation(F318,$G$7:G318,$F$6:F317,$M$7)</f>
        <v>0.76820325293473002</v>
      </c>
      <c r="I319">
        <f t="shared" si="19"/>
        <v>-1.4099959999999925</v>
      </c>
      <c r="J319">
        <f t="shared" si="18"/>
        <v>0</v>
      </c>
    </row>
    <row r="320" spans="1:10" x14ac:dyDescent="0.25">
      <c r="A320" s="2">
        <v>42468</v>
      </c>
      <c r="B320" s="3">
        <v>108.910004</v>
      </c>
      <c r="C320" s="3">
        <v>109.769997</v>
      </c>
      <c r="D320" s="3">
        <v>108.16999800000001</v>
      </c>
      <c r="E320" s="3">
        <v>108.660004</v>
      </c>
      <c r="F320" s="8">
        <f t="shared" si="16"/>
        <v>109.63200126666668</v>
      </c>
      <c r="G320" s="7">
        <f t="shared" si="17"/>
        <v>-0.25</v>
      </c>
      <c r="H320" s="5">
        <f>interpolation(F319,$G$7:G319,$F$6:F318,$M$7)</f>
        <v>0.49189121186630441</v>
      </c>
      <c r="I320">
        <f t="shared" si="19"/>
        <v>-0.25</v>
      </c>
      <c r="J320">
        <f t="shared" si="18"/>
        <v>0</v>
      </c>
    </row>
    <row r="321" spans="1:10" x14ac:dyDescent="0.25">
      <c r="A321" s="2">
        <v>42471</v>
      </c>
      <c r="B321" s="3">
        <v>108.970001</v>
      </c>
      <c r="C321" s="3">
        <v>110.610001</v>
      </c>
      <c r="D321" s="3">
        <v>108.83000199999999</v>
      </c>
      <c r="E321" s="3">
        <v>109.019997</v>
      </c>
      <c r="F321" s="8">
        <f t="shared" si="16"/>
        <v>109.35400133333334</v>
      </c>
      <c r="G321" s="7">
        <f t="shared" si="17"/>
        <v>4.9996000000007257E-2</v>
      </c>
      <c r="H321" s="5">
        <f>interpolation(F320,$G$7:G320,$F$6:F319,$M$7)</f>
        <v>-0.29655928174622198</v>
      </c>
      <c r="I321">
        <f t="shared" si="19"/>
        <v>-4.9996000000007257E-2</v>
      </c>
      <c r="J321">
        <f t="shared" si="18"/>
        <v>0</v>
      </c>
    </row>
    <row r="322" spans="1:10" x14ac:dyDescent="0.25">
      <c r="A322" s="2">
        <v>42472</v>
      </c>
      <c r="B322" s="3">
        <v>109.339996</v>
      </c>
      <c r="C322" s="3">
        <v>110.5</v>
      </c>
      <c r="D322" s="3">
        <v>108.660004</v>
      </c>
      <c r="E322" s="3">
        <v>110.44000200000001</v>
      </c>
      <c r="F322" s="8">
        <f t="shared" si="16"/>
        <v>109.29599953333333</v>
      </c>
      <c r="G322" s="7">
        <f t="shared" si="17"/>
        <v>1.1000060000000076</v>
      </c>
      <c r="H322" s="5">
        <f>interpolation(F321,$G$7:G321,$F$6:F320,$M$7)</f>
        <v>0.50344816725911934</v>
      </c>
      <c r="I322">
        <f t="shared" si="19"/>
        <v>1.1000060000000076</v>
      </c>
      <c r="J322">
        <f t="shared" si="18"/>
        <v>1</v>
      </c>
    </row>
    <row r="323" spans="1:10" x14ac:dyDescent="0.25">
      <c r="A323" s="2">
        <v>42473</v>
      </c>
      <c r="B323" s="3">
        <v>110.800003</v>
      </c>
      <c r="C323" s="3">
        <v>112.339996</v>
      </c>
      <c r="D323" s="3">
        <v>110.800003</v>
      </c>
      <c r="E323" s="3">
        <v>112.040001</v>
      </c>
      <c r="F323" s="8">
        <f t="shared" si="16"/>
        <v>109.73600046666667</v>
      </c>
      <c r="G323" s="7">
        <f t="shared" si="17"/>
        <v>1.2399979999999999</v>
      </c>
      <c r="H323" s="5">
        <f>interpolation(F322,$G$7:G322,$F$6:F321,$M$7)</f>
        <v>0.69999502300987237</v>
      </c>
      <c r="I323">
        <f t="shared" si="19"/>
        <v>1.2399979999999999</v>
      </c>
      <c r="J323">
        <f t="shared" si="18"/>
        <v>1</v>
      </c>
    </row>
    <row r="324" spans="1:10" x14ac:dyDescent="0.25">
      <c r="A324" s="2">
        <v>42474</v>
      </c>
      <c r="B324" s="3">
        <v>111.620003</v>
      </c>
      <c r="C324" s="3">
        <v>112.389999</v>
      </c>
      <c r="D324" s="3">
        <v>111.33000199999999</v>
      </c>
      <c r="E324" s="3">
        <v>112.099998</v>
      </c>
      <c r="F324" s="8">
        <f t="shared" si="16"/>
        <v>110.41133473333333</v>
      </c>
      <c r="G324" s="7">
        <f t="shared" si="17"/>
        <v>0.47999500000000239</v>
      </c>
      <c r="H324" s="5">
        <f>interpolation(F323,$G$7:G323,$F$6:F322,$M$7)</f>
        <v>0.4697139614580309</v>
      </c>
      <c r="I324">
        <f t="shared" si="19"/>
        <v>0.47999500000000239</v>
      </c>
      <c r="J324">
        <f t="shared" si="18"/>
        <v>1</v>
      </c>
    </row>
    <row r="325" spans="1:10" x14ac:dyDescent="0.25">
      <c r="A325" s="2">
        <v>42475</v>
      </c>
      <c r="B325" s="3">
        <v>112.110001</v>
      </c>
      <c r="C325" s="3">
        <v>112.300003</v>
      </c>
      <c r="D325" s="3">
        <v>109.730003</v>
      </c>
      <c r="E325" s="3">
        <v>109.849998</v>
      </c>
      <c r="F325" s="8">
        <f t="shared" si="16"/>
        <v>111.13866793333334</v>
      </c>
      <c r="G325" s="7">
        <f t="shared" si="17"/>
        <v>-2.2600029999999975</v>
      </c>
      <c r="H325" s="5">
        <f>interpolation(F324,$G$7:G324,$F$6:F323,$M$7)</f>
        <v>-0.77275424367439893</v>
      </c>
      <c r="I325">
        <f t="shared" si="19"/>
        <v>2.2600029999999975</v>
      </c>
      <c r="J325">
        <f t="shared" si="18"/>
        <v>1</v>
      </c>
    </row>
    <row r="326" spans="1:10" x14ac:dyDescent="0.25">
      <c r="A326" s="2">
        <v>42478</v>
      </c>
      <c r="B326" s="3">
        <v>108.889999</v>
      </c>
      <c r="C326" s="3">
        <v>108.949997</v>
      </c>
      <c r="D326" s="3">
        <v>106.94000200000001</v>
      </c>
      <c r="E326" s="3">
        <v>107.480003</v>
      </c>
      <c r="F326" s="8">
        <f t="shared" si="16"/>
        <v>110.57933400000002</v>
      </c>
      <c r="G326" s="7">
        <f t="shared" si="17"/>
        <v>-1.4099960000000067</v>
      </c>
      <c r="H326" s="5">
        <f>interpolation(F325,$G$7:G325,$F$6:F324,$M$7)</f>
        <v>-0.16870288364225397</v>
      </c>
      <c r="I326">
        <f t="shared" si="19"/>
        <v>1.4099960000000067</v>
      </c>
      <c r="J326">
        <f t="shared" si="18"/>
        <v>1</v>
      </c>
    </row>
    <row r="327" spans="1:10" x14ac:dyDescent="0.25">
      <c r="A327" s="2">
        <v>42479</v>
      </c>
      <c r="B327" s="3">
        <v>107.879997</v>
      </c>
      <c r="C327" s="3">
        <v>108</v>
      </c>
      <c r="D327" s="3">
        <v>106.230003</v>
      </c>
      <c r="E327" s="3">
        <v>106.910004</v>
      </c>
      <c r="F327" s="8">
        <f t="shared" ref="F327:F373" si="20">movingAverage(B323:B327,$M$6)</f>
        <v>109.6886662</v>
      </c>
      <c r="G327" s="7">
        <f t="shared" ref="G327:G373" si="21">E327-B327</f>
        <v>-0.96999300000000233</v>
      </c>
      <c r="H327" s="5">
        <f>interpolation(F326,$G$7:G326,$F$6:F325,$M$7)</f>
        <v>-0.92734374222165783</v>
      </c>
      <c r="I327">
        <f t="shared" si="19"/>
        <v>0.96999300000000233</v>
      </c>
      <c r="J327">
        <f t="shared" si="18"/>
        <v>1</v>
      </c>
    </row>
    <row r="328" spans="1:10" x14ac:dyDescent="0.25">
      <c r="A328" s="2">
        <v>42480</v>
      </c>
      <c r="B328" s="3">
        <v>106.639999</v>
      </c>
      <c r="C328" s="3">
        <v>108.089996</v>
      </c>
      <c r="D328" s="3">
        <v>106.05999799999999</v>
      </c>
      <c r="E328" s="3">
        <v>107.129997</v>
      </c>
      <c r="F328" s="8">
        <f t="shared" si="20"/>
        <v>108.481999</v>
      </c>
      <c r="G328" s="7">
        <f t="shared" si="21"/>
        <v>0.48999799999999993</v>
      </c>
      <c r="H328" s="5">
        <f>interpolation(F327,$G$7:G327,$F$6:F326,$M$7)</f>
        <v>-0.51261288512586922</v>
      </c>
      <c r="I328">
        <f t="shared" si="19"/>
        <v>-0.48999799999999993</v>
      </c>
      <c r="J328">
        <f t="shared" si="18"/>
        <v>0</v>
      </c>
    </row>
    <row r="329" spans="1:10" x14ac:dyDescent="0.25">
      <c r="A329" s="2">
        <v>42481</v>
      </c>
      <c r="B329" s="3">
        <v>106.93</v>
      </c>
      <c r="C329" s="3">
        <v>106.93</v>
      </c>
      <c r="D329" s="3">
        <v>105.519997</v>
      </c>
      <c r="E329" s="3">
        <v>105.970001</v>
      </c>
      <c r="F329" s="8">
        <f t="shared" si="20"/>
        <v>107.64933240000001</v>
      </c>
      <c r="G329" s="7">
        <f t="shared" si="21"/>
        <v>-0.95999900000001048</v>
      </c>
      <c r="H329" s="5">
        <f>interpolation(F328,$G$7:G328,$F$6:F327,$M$7)</f>
        <v>0.86194889728105228</v>
      </c>
      <c r="I329">
        <f t="shared" si="19"/>
        <v>-0.95999900000001048</v>
      </c>
      <c r="J329">
        <f t="shared" ref="J329:J373" si="22">IF(I329&gt;0,1,0)</f>
        <v>0</v>
      </c>
    </row>
    <row r="330" spans="1:10" x14ac:dyDescent="0.25">
      <c r="A330" s="2">
        <v>42482</v>
      </c>
      <c r="B330" s="3">
        <v>105.010002</v>
      </c>
      <c r="C330" s="3">
        <v>106.480003</v>
      </c>
      <c r="D330" s="3">
        <v>104.620003</v>
      </c>
      <c r="E330" s="3">
        <v>105.68</v>
      </c>
      <c r="F330" s="8">
        <f t="shared" si="20"/>
        <v>106.48933333333335</v>
      </c>
      <c r="G330" s="7">
        <f t="shared" si="21"/>
        <v>0.66999800000000675</v>
      </c>
      <c r="H330" s="5">
        <f>interpolation(F329,$G$7:G329,$F$6:F328,$M$7)</f>
        <v>2.2188264886150644</v>
      </c>
      <c r="I330">
        <f t="shared" ref="I330:I373" si="23">IF(H330&gt;=0,E330-B330,B330-E330)</f>
        <v>0.66999800000000675</v>
      </c>
      <c r="J330">
        <f t="shared" si="22"/>
        <v>1</v>
      </c>
    </row>
    <row r="331" spans="1:10" x14ac:dyDescent="0.25">
      <c r="A331" s="2">
        <v>42485</v>
      </c>
      <c r="B331" s="3">
        <v>105</v>
      </c>
      <c r="C331" s="3">
        <v>105.650002</v>
      </c>
      <c r="D331" s="3">
        <v>104.510002</v>
      </c>
      <c r="E331" s="3">
        <v>105.08000199999999</v>
      </c>
      <c r="F331" s="8">
        <f t="shared" si="20"/>
        <v>105.79933353333332</v>
      </c>
      <c r="G331" s="7">
        <f t="shared" si="21"/>
        <v>8.0001999999993245E-2</v>
      </c>
      <c r="H331" s="5">
        <f>interpolation(F330,$G$7:G330,$F$6:F329,$M$7)</f>
        <v>-0.63637069518399159</v>
      </c>
      <c r="I331">
        <f t="shared" si="23"/>
        <v>-8.0001999999993245E-2</v>
      </c>
      <c r="J331">
        <f t="shared" si="22"/>
        <v>0</v>
      </c>
    </row>
    <row r="332" spans="1:10" x14ac:dyDescent="0.25">
      <c r="A332" s="2">
        <v>42486</v>
      </c>
      <c r="B332" s="3">
        <v>103.910004</v>
      </c>
      <c r="C332" s="3">
        <v>105.300003</v>
      </c>
      <c r="D332" s="3">
        <v>103.910004</v>
      </c>
      <c r="E332" s="3">
        <v>104.349998</v>
      </c>
      <c r="F332" s="8">
        <f t="shared" si="20"/>
        <v>105.00533500000002</v>
      </c>
      <c r="G332" s="7">
        <f t="shared" si="21"/>
        <v>0.43999399999999866</v>
      </c>
      <c r="H332" s="5">
        <f>interpolation(F331,$G$7:G331,$F$6:F330,$M$7)</f>
        <v>-0.59768435045128721</v>
      </c>
      <c r="I332">
        <f t="shared" si="23"/>
        <v>-0.43999399999999866</v>
      </c>
      <c r="J332">
        <f t="shared" si="22"/>
        <v>0</v>
      </c>
    </row>
    <row r="333" spans="1:10" x14ac:dyDescent="0.25">
      <c r="A333" s="2">
        <v>42487</v>
      </c>
      <c r="B333" s="3">
        <v>96</v>
      </c>
      <c r="C333" s="3">
        <v>98.709998999999996</v>
      </c>
      <c r="D333" s="3">
        <v>95.68</v>
      </c>
      <c r="E333" s="3">
        <v>97.82</v>
      </c>
      <c r="F333" s="8">
        <f t="shared" si="20"/>
        <v>101.83933466666667</v>
      </c>
      <c r="G333" s="7">
        <f t="shared" si="21"/>
        <v>1.8199999999999932</v>
      </c>
      <c r="H333" s="5">
        <f>interpolation(F332,$G$7:G332,$F$6:F331,$M$7)</f>
        <v>-9.0128633909065906E-2</v>
      </c>
      <c r="I333">
        <f t="shared" si="23"/>
        <v>-1.8199999999999932</v>
      </c>
      <c r="J333">
        <f t="shared" si="22"/>
        <v>0</v>
      </c>
    </row>
    <row r="334" spans="1:10" x14ac:dyDescent="0.25">
      <c r="A334" s="2">
        <v>42488</v>
      </c>
      <c r="B334" s="3">
        <v>97.610000999999997</v>
      </c>
      <c r="C334" s="3">
        <v>97.879997000000003</v>
      </c>
      <c r="D334" s="3">
        <v>94.25</v>
      </c>
      <c r="E334" s="3">
        <v>94.830001999999993</v>
      </c>
      <c r="F334" s="8">
        <f t="shared" si="20"/>
        <v>99.919334599999999</v>
      </c>
      <c r="G334" s="7">
        <f t="shared" si="21"/>
        <v>-2.7799990000000037</v>
      </c>
      <c r="H334" s="5">
        <f>interpolation(F333,$G$7:G333,$F$6:F332,$M$7)</f>
        <v>0.70831551823022898</v>
      </c>
      <c r="I334">
        <f t="shared" si="23"/>
        <v>-2.7799990000000037</v>
      </c>
      <c r="J334">
        <f t="shared" si="22"/>
        <v>0</v>
      </c>
    </row>
    <row r="335" spans="1:10" x14ac:dyDescent="0.25">
      <c r="A335" s="2">
        <v>42489</v>
      </c>
      <c r="B335" s="3">
        <v>93.989998</v>
      </c>
      <c r="C335" s="3">
        <v>94.720000999999996</v>
      </c>
      <c r="D335" s="3">
        <v>92.510002</v>
      </c>
      <c r="E335" s="3">
        <v>93.739998</v>
      </c>
      <c r="F335" s="8">
        <f t="shared" si="20"/>
        <v>97.414000133333332</v>
      </c>
      <c r="G335" s="7">
        <f t="shared" si="21"/>
        <v>-0.25</v>
      </c>
      <c r="H335" s="5">
        <f>interpolation(F334,$G$7:G334,$F$6:F333,$M$7)</f>
        <v>0.88052924458546111</v>
      </c>
      <c r="I335">
        <f t="shared" si="23"/>
        <v>-0.25</v>
      </c>
      <c r="J335">
        <f t="shared" si="22"/>
        <v>0</v>
      </c>
    </row>
    <row r="336" spans="1:10" x14ac:dyDescent="0.25">
      <c r="A336" s="2">
        <v>42492</v>
      </c>
      <c r="B336" s="3">
        <v>93.970000999999996</v>
      </c>
      <c r="C336" s="3">
        <v>94.080001999999993</v>
      </c>
      <c r="D336" s="3">
        <v>92.400002000000001</v>
      </c>
      <c r="E336" s="3">
        <v>93.639999000000003</v>
      </c>
      <c r="F336" s="8">
        <f t="shared" si="20"/>
        <v>95.636666933333331</v>
      </c>
      <c r="G336" s="7">
        <f t="shared" si="21"/>
        <v>-0.33000199999999325</v>
      </c>
      <c r="H336" s="5">
        <f>interpolation(F335,$G$7:G335,$F$6:F334,$M$7)</f>
        <v>-1.6168434685422195</v>
      </c>
      <c r="I336">
        <f t="shared" si="23"/>
        <v>0.33000199999999325</v>
      </c>
      <c r="J336">
        <f t="shared" si="22"/>
        <v>1</v>
      </c>
    </row>
    <row r="337" spans="1:10" x14ac:dyDescent="0.25">
      <c r="A337" s="2">
        <v>42493</v>
      </c>
      <c r="B337" s="3">
        <v>94.199996999999996</v>
      </c>
      <c r="C337" s="3">
        <v>95.739998</v>
      </c>
      <c r="D337" s="3">
        <v>93.68</v>
      </c>
      <c r="E337" s="3">
        <v>95.18</v>
      </c>
      <c r="F337" s="8">
        <f t="shared" si="20"/>
        <v>94.671332333333339</v>
      </c>
      <c r="G337" s="7">
        <f t="shared" si="21"/>
        <v>0.98000300000001062</v>
      </c>
      <c r="H337" s="5">
        <f>interpolation(F336,$G$7:G336,$F$6:F335,$M$7)</f>
        <v>-0.69442737385057174</v>
      </c>
      <c r="I337">
        <f t="shared" si="23"/>
        <v>-0.98000300000001062</v>
      </c>
      <c r="J337">
        <f t="shared" si="22"/>
        <v>0</v>
      </c>
    </row>
    <row r="338" spans="1:10" x14ac:dyDescent="0.25">
      <c r="A338" s="2">
        <v>42494</v>
      </c>
      <c r="B338" s="3">
        <v>95.199996999999996</v>
      </c>
      <c r="C338" s="3">
        <v>95.900002000000001</v>
      </c>
      <c r="D338" s="3">
        <v>93.82</v>
      </c>
      <c r="E338" s="3">
        <v>94.190002000000007</v>
      </c>
      <c r="F338" s="8">
        <f t="shared" si="20"/>
        <v>94.686664866666661</v>
      </c>
      <c r="G338" s="7">
        <f t="shared" si="21"/>
        <v>-1.0099949999999893</v>
      </c>
      <c r="H338" s="5">
        <f>interpolation(F337,$G$7:G337,$F$6:F336,$M$7)</f>
        <v>-1.0230250799577578</v>
      </c>
      <c r="I338">
        <f t="shared" si="23"/>
        <v>1.0099949999999893</v>
      </c>
      <c r="J338">
        <f t="shared" si="22"/>
        <v>1</v>
      </c>
    </row>
    <row r="339" spans="1:10" x14ac:dyDescent="0.25">
      <c r="A339" s="2">
        <v>42495</v>
      </c>
      <c r="B339" s="3">
        <v>94</v>
      </c>
      <c r="C339" s="3">
        <v>94.07</v>
      </c>
      <c r="D339" s="3">
        <v>92.68</v>
      </c>
      <c r="E339" s="3">
        <v>93.239998</v>
      </c>
      <c r="F339" s="8">
        <f t="shared" si="20"/>
        <v>94.355331933333346</v>
      </c>
      <c r="G339" s="7">
        <f t="shared" si="21"/>
        <v>-0.76000200000000007</v>
      </c>
      <c r="H339" s="5">
        <f>interpolation(F338,$G$7:G338,$F$6:F337,$M$7)</f>
        <v>-1.6237800927061958</v>
      </c>
      <c r="I339">
        <f t="shared" si="23"/>
        <v>0.76000200000000007</v>
      </c>
      <c r="J339">
        <f t="shared" si="22"/>
        <v>1</v>
      </c>
    </row>
    <row r="340" spans="1:10" x14ac:dyDescent="0.25">
      <c r="A340" s="2">
        <v>42496</v>
      </c>
      <c r="B340" s="3">
        <v>93.370002999999997</v>
      </c>
      <c r="C340" s="3">
        <v>93.449996999999996</v>
      </c>
      <c r="D340" s="3">
        <v>91.849997999999999</v>
      </c>
      <c r="E340" s="3">
        <v>92.720000999999996</v>
      </c>
      <c r="F340" s="8">
        <f t="shared" si="20"/>
        <v>94.054666733333335</v>
      </c>
      <c r="G340" s="7">
        <f t="shared" si="21"/>
        <v>-0.65000200000000063</v>
      </c>
      <c r="H340" s="5">
        <f>interpolation(F339,$G$7:G339,$F$6:F338,$M$7)</f>
        <v>1.6200019999999995</v>
      </c>
      <c r="I340">
        <f t="shared" si="23"/>
        <v>-0.65000200000000063</v>
      </c>
      <c r="J340">
        <f t="shared" si="22"/>
        <v>0</v>
      </c>
    </row>
    <row r="341" spans="1:10" x14ac:dyDescent="0.25">
      <c r="A341" s="2">
        <v>42499</v>
      </c>
      <c r="B341" s="3">
        <v>93</v>
      </c>
      <c r="C341" s="3">
        <v>93.769997000000004</v>
      </c>
      <c r="D341" s="3">
        <v>92.589995999999999</v>
      </c>
      <c r="E341" s="3">
        <v>92.790001000000004</v>
      </c>
      <c r="F341" s="8">
        <f t="shared" si="20"/>
        <v>93.672000199999999</v>
      </c>
      <c r="G341" s="7">
        <f t="shared" si="21"/>
        <v>-0.20999899999999627</v>
      </c>
      <c r="H341" s="5">
        <f>interpolation(F340,$G$7:G340,$F$6:F339,$M$7)</f>
        <v>-0.65000200000000063</v>
      </c>
      <c r="I341">
        <f t="shared" si="23"/>
        <v>0.20999899999999627</v>
      </c>
      <c r="J341">
        <f t="shared" si="22"/>
        <v>1</v>
      </c>
    </row>
    <row r="342" spans="1:10" x14ac:dyDescent="0.25">
      <c r="A342" s="2">
        <v>42500</v>
      </c>
      <c r="B342" s="3">
        <v>93.330001999999993</v>
      </c>
      <c r="C342" s="3">
        <v>93.57</v>
      </c>
      <c r="D342" s="3">
        <v>92.110000999999997</v>
      </c>
      <c r="E342" s="3">
        <v>93.419998000000007</v>
      </c>
      <c r="F342" s="8">
        <f t="shared" si="20"/>
        <v>93.464001066666668</v>
      </c>
      <c r="G342" s="7">
        <f t="shared" si="21"/>
        <v>8.999600000001351E-2</v>
      </c>
      <c r="H342" s="5">
        <f>interpolation(F341,$G$7:G341,$F$6:F340,$M$7)</f>
        <v>-0.20999899999999627</v>
      </c>
      <c r="I342">
        <f t="shared" si="23"/>
        <v>-8.999600000001351E-2</v>
      </c>
      <c r="J342">
        <f t="shared" si="22"/>
        <v>0</v>
      </c>
    </row>
    <row r="343" spans="1:10" x14ac:dyDescent="0.25">
      <c r="A343" s="2">
        <v>42501</v>
      </c>
      <c r="B343" s="3">
        <v>93.480002999999996</v>
      </c>
      <c r="C343" s="3">
        <v>93.57</v>
      </c>
      <c r="D343" s="3">
        <v>92.459998999999996</v>
      </c>
      <c r="E343" s="3">
        <v>92.510002</v>
      </c>
      <c r="F343" s="8">
        <f t="shared" si="20"/>
        <v>93.364001933333327</v>
      </c>
      <c r="G343" s="7">
        <f t="shared" si="21"/>
        <v>-0.97000099999999634</v>
      </c>
      <c r="H343" s="5">
        <f>interpolation(F342,$G$7:G342,$F$6:F341,$M$7)</f>
        <v>8.999600000001351E-2</v>
      </c>
      <c r="I343">
        <f t="shared" si="23"/>
        <v>-0.97000099999999634</v>
      </c>
      <c r="J343">
        <f t="shared" si="22"/>
        <v>0</v>
      </c>
    </row>
    <row r="344" spans="1:10" x14ac:dyDescent="0.25">
      <c r="A344" s="2">
        <v>42502</v>
      </c>
      <c r="B344" s="3">
        <v>92.720000999999996</v>
      </c>
      <c r="C344" s="3">
        <v>92.779999000000004</v>
      </c>
      <c r="D344" s="3">
        <v>89.470000999999996</v>
      </c>
      <c r="E344" s="3">
        <v>90.339995999999999</v>
      </c>
      <c r="F344" s="8">
        <f t="shared" si="20"/>
        <v>93.125335066666665</v>
      </c>
      <c r="G344" s="7">
        <f t="shared" si="21"/>
        <v>-2.380004999999997</v>
      </c>
      <c r="H344" s="5">
        <f>interpolation(F343,$G$7:G343,$F$6:F342,$M$7)</f>
        <v>-0.97000099999999634</v>
      </c>
      <c r="I344">
        <f t="shared" si="23"/>
        <v>2.380004999999997</v>
      </c>
      <c r="J344">
        <f t="shared" si="22"/>
        <v>1</v>
      </c>
    </row>
    <row r="345" spans="1:10" x14ac:dyDescent="0.25">
      <c r="A345" s="2">
        <v>42503</v>
      </c>
      <c r="B345" s="3">
        <v>90</v>
      </c>
      <c r="C345" s="3">
        <v>91.669998000000007</v>
      </c>
      <c r="D345" s="3">
        <v>90</v>
      </c>
      <c r="E345" s="3">
        <v>90.519997000000004</v>
      </c>
      <c r="F345" s="8">
        <f t="shared" si="20"/>
        <v>92.065334466666656</v>
      </c>
      <c r="G345" s="7">
        <f t="shared" si="21"/>
        <v>0.5199970000000036</v>
      </c>
      <c r="H345" s="5">
        <f>interpolation(F344,$G$7:G344,$F$6:F343,$M$7)</f>
        <v>-2.380004999999997</v>
      </c>
      <c r="I345">
        <f t="shared" si="23"/>
        <v>-0.5199970000000036</v>
      </c>
      <c r="J345">
        <f t="shared" si="22"/>
        <v>0</v>
      </c>
    </row>
    <row r="346" spans="1:10" x14ac:dyDescent="0.25">
      <c r="A346" s="2">
        <v>42506</v>
      </c>
      <c r="B346" s="3">
        <v>92.389999000000003</v>
      </c>
      <c r="C346" s="3">
        <v>94.389999000000003</v>
      </c>
      <c r="D346" s="3">
        <v>91.650002000000001</v>
      </c>
      <c r="E346" s="3">
        <v>93.879997000000003</v>
      </c>
      <c r="F346" s="8">
        <f t="shared" si="20"/>
        <v>92.026667066666661</v>
      </c>
      <c r="G346" s="7">
        <f t="shared" si="21"/>
        <v>1.4899979999999999</v>
      </c>
      <c r="H346" s="5">
        <f>interpolation(F345,$G$7:G345,$F$6:F344,$M$7)</f>
        <v>0.5199970000000036</v>
      </c>
      <c r="I346">
        <f t="shared" si="23"/>
        <v>1.4899979999999999</v>
      </c>
      <c r="J346">
        <f t="shared" si="22"/>
        <v>1</v>
      </c>
    </row>
    <row r="347" spans="1:10" x14ac:dyDescent="0.25">
      <c r="A347" s="2">
        <v>42507</v>
      </c>
      <c r="B347" s="3">
        <v>94.550003000000004</v>
      </c>
      <c r="C347" s="3">
        <v>94.699996999999996</v>
      </c>
      <c r="D347" s="3">
        <v>93.010002</v>
      </c>
      <c r="E347" s="3">
        <v>93.489998</v>
      </c>
      <c r="F347" s="8">
        <f t="shared" si="20"/>
        <v>92.748667733333335</v>
      </c>
      <c r="G347" s="7">
        <f t="shared" si="21"/>
        <v>-1.0600050000000039</v>
      </c>
      <c r="H347" s="5">
        <f>interpolation(F346,$G$7:G346,$F$6:F345,$M$7)</f>
        <v>1.4899979999999999</v>
      </c>
      <c r="I347">
        <f t="shared" si="23"/>
        <v>-1.0600050000000039</v>
      </c>
      <c r="J347">
        <f t="shared" si="22"/>
        <v>0</v>
      </c>
    </row>
    <row r="348" spans="1:10" x14ac:dyDescent="0.25">
      <c r="A348" s="2">
        <v>42508</v>
      </c>
      <c r="B348" s="3">
        <v>94.160004000000001</v>
      </c>
      <c r="C348" s="3">
        <v>95.209998999999996</v>
      </c>
      <c r="D348" s="3">
        <v>93.889999000000003</v>
      </c>
      <c r="E348" s="3">
        <v>94.559997999999993</v>
      </c>
      <c r="F348" s="8">
        <f t="shared" si="20"/>
        <v>93.25933533333334</v>
      </c>
      <c r="G348" s="7">
        <f t="shared" si="21"/>
        <v>0.39999399999999241</v>
      </c>
      <c r="H348" s="5">
        <f>interpolation(F347,$G$7:G347,$F$6:F346,$M$7)</f>
        <v>0.86468330489516965</v>
      </c>
      <c r="I348">
        <f t="shared" si="23"/>
        <v>0.39999399999999241</v>
      </c>
      <c r="J348">
        <f t="shared" si="22"/>
        <v>1</v>
      </c>
    </row>
    <row r="349" spans="1:10" x14ac:dyDescent="0.25">
      <c r="A349" s="2">
        <v>42509</v>
      </c>
      <c r="B349" s="3">
        <v>94.639999000000003</v>
      </c>
      <c r="C349" s="3">
        <v>94.639999000000003</v>
      </c>
      <c r="D349" s="3">
        <v>93.57</v>
      </c>
      <c r="E349" s="3">
        <v>94.199996999999996</v>
      </c>
      <c r="F349" s="8">
        <f t="shared" si="20"/>
        <v>93.884667866666661</v>
      </c>
      <c r="G349" s="7">
        <f t="shared" si="21"/>
        <v>-0.44000200000000689</v>
      </c>
      <c r="H349" s="5">
        <f>interpolation(F348,$G$7:G348,$F$6:F347,$M$7)</f>
        <v>-1.1082182892074259</v>
      </c>
      <c r="I349">
        <f t="shared" si="23"/>
        <v>0.44000200000000689</v>
      </c>
      <c r="J349">
        <f t="shared" si="22"/>
        <v>1</v>
      </c>
    </row>
    <row r="350" spans="1:10" x14ac:dyDescent="0.25">
      <c r="A350" s="2">
        <v>42510</v>
      </c>
      <c r="B350" s="3">
        <v>94.639999000000003</v>
      </c>
      <c r="C350" s="3">
        <v>95.43</v>
      </c>
      <c r="D350" s="3">
        <v>94.519997000000004</v>
      </c>
      <c r="E350" s="3">
        <v>95.220000999999996</v>
      </c>
      <c r="F350" s="8">
        <f t="shared" si="20"/>
        <v>94.38200053333334</v>
      </c>
      <c r="G350" s="7">
        <f t="shared" si="21"/>
        <v>0.58000199999999325</v>
      </c>
      <c r="H350" s="5">
        <f>interpolation(F349,$G$7:G349,$F$6:F348,$M$7)</f>
        <v>-7.6726801980928239E-2</v>
      </c>
      <c r="I350">
        <f t="shared" si="23"/>
        <v>-0.58000199999999325</v>
      </c>
      <c r="J350">
        <f t="shared" si="22"/>
        <v>0</v>
      </c>
    </row>
    <row r="351" spans="1:10" x14ac:dyDescent="0.25">
      <c r="A351" s="2">
        <v>42513</v>
      </c>
      <c r="B351" s="3">
        <v>95.870002999999997</v>
      </c>
      <c r="C351" s="3">
        <v>97.190002000000007</v>
      </c>
      <c r="D351" s="3">
        <v>95.669998000000007</v>
      </c>
      <c r="E351" s="3">
        <v>96.43</v>
      </c>
      <c r="F351" s="8">
        <f t="shared" si="20"/>
        <v>94.980001266666662</v>
      </c>
      <c r="G351" s="7">
        <f t="shared" si="21"/>
        <v>0.55999700000000985</v>
      </c>
      <c r="H351" s="5">
        <f>interpolation(F350,$G$7:G350,$F$6:F349,$M$7)</f>
        <v>1.5188892822926698</v>
      </c>
      <c r="I351">
        <f t="shared" si="23"/>
        <v>0.55999700000000985</v>
      </c>
      <c r="J351">
        <f t="shared" si="22"/>
        <v>1</v>
      </c>
    </row>
    <row r="352" spans="1:10" x14ac:dyDescent="0.25">
      <c r="A352" s="2">
        <v>42514</v>
      </c>
      <c r="B352" s="3">
        <v>97.220000999999996</v>
      </c>
      <c r="C352" s="3">
        <v>98.089995999999999</v>
      </c>
      <c r="D352" s="3">
        <v>96.839995999999999</v>
      </c>
      <c r="E352" s="3">
        <v>97.900002000000001</v>
      </c>
      <c r="F352" s="8">
        <f t="shared" si="20"/>
        <v>95.796001066666662</v>
      </c>
      <c r="G352" s="7">
        <f t="shared" si="21"/>
        <v>0.6800010000000043</v>
      </c>
      <c r="H352" s="5">
        <f>interpolation(F351,$G$7:G351,$F$6:F350,$M$7)</f>
        <v>0.69012470650720192</v>
      </c>
      <c r="I352">
        <f t="shared" si="23"/>
        <v>0.6800010000000043</v>
      </c>
      <c r="J352">
        <f t="shared" si="22"/>
        <v>1</v>
      </c>
    </row>
    <row r="353" spans="1:10" x14ac:dyDescent="0.25">
      <c r="A353" s="2">
        <v>42515</v>
      </c>
      <c r="B353" s="3">
        <v>98.669998000000007</v>
      </c>
      <c r="C353" s="3">
        <v>99.739998</v>
      </c>
      <c r="D353" s="3">
        <v>98.110000999999997</v>
      </c>
      <c r="E353" s="3">
        <v>99.620002999999997</v>
      </c>
      <c r="F353" s="8">
        <f t="shared" si="20"/>
        <v>96.917333333333332</v>
      </c>
      <c r="G353" s="7">
        <f t="shared" si="21"/>
        <v>0.95000499999999022</v>
      </c>
      <c r="H353" s="5">
        <f>interpolation(F352,$G$7:G352,$F$6:F351,$M$7)</f>
        <v>1.3443920709839912</v>
      </c>
      <c r="I353">
        <f t="shared" si="23"/>
        <v>0.95000499999999022</v>
      </c>
      <c r="J353">
        <f t="shared" si="22"/>
        <v>1</v>
      </c>
    </row>
    <row r="354" spans="1:10" x14ac:dyDescent="0.25">
      <c r="A354" s="2">
        <v>42516</v>
      </c>
      <c r="B354" s="3">
        <v>99.68</v>
      </c>
      <c r="C354" s="3">
        <v>100.730003</v>
      </c>
      <c r="D354" s="3">
        <v>98.639999000000003</v>
      </c>
      <c r="E354" s="3">
        <v>100.410004</v>
      </c>
      <c r="F354" s="8">
        <f t="shared" si="20"/>
        <v>98.074666666666673</v>
      </c>
      <c r="G354" s="7">
        <f t="shared" si="21"/>
        <v>0.73000399999999388</v>
      </c>
      <c r="H354" s="5">
        <f>interpolation(F353,$G$7:G353,$F$6:F352,$M$7)</f>
        <v>-0.39933874999368585</v>
      </c>
      <c r="I354">
        <f t="shared" si="23"/>
        <v>-0.73000399999999388</v>
      </c>
      <c r="J354">
        <f t="shared" si="22"/>
        <v>0</v>
      </c>
    </row>
    <row r="355" spans="1:10" x14ac:dyDescent="0.25">
      <c r="A355" s="2">
        <v>42517</v>
      </c>
      <c r="B355" s="3">
        <v>99.440002000000007</v>
      </c>
      <c r="C355" s="3">
        <v>100.470001</v>
      </c>
      <c r="D355" s="3">
        <v>99.25</v>
      </c>
      <c r="E355" s="3">
        <v>100.349998</v>
      </c>
      <c r="F355" s="8">
        <f t="shared" si="20"/>
        <v>98.81600060000001</v>
      </c>
      <c r="G355" s="7">
        <f t="shared" si="21"/>
        <v>0.90999599999999248</v>
      </c>
      <c r="H355" s="5">
        <f>interpolation(F354,$G$7:G354,$F$6:F353,$M$7)</f>
        <v>1.5391141806996362</v>
      </c>
      <c r="I355">
        <f t="shared" si="23"/>
        <v>0.90999599999999248</v>
      </c>
      <c r="J355">
        <f t="shared" si="22"/>
        <v>1</v>
      </c>
    </row>
    <row r="356" spans="1:10" x14ac:dyDescent="0.25">
      <c r="A356" s="2">
        <v>42521</v>
      </c>
      <c r="B356" s="3">
        <v>99.599997999999999</v>
      </c>
      <c r="C356" s="3">
        <v>100.400002</v>
      </c>
      <c r="D356" s="3">
        <v>98.82</v>
      </c>
      <c r="E356" s="3">
        <v>99.860000999999997</v>
      </c>
      <c r="F356" s="8">
        <f t="shared" si="20"/>
        <v>99.290666333333334</v>
      </c>
      <c r="G356" s="7">
        <f t="shared" si="21"/>
        <v>0.26000299999999754</v>
      </c>
      <c r="H356" s="5">
        <f>interpolation(F355,$G$7:G355,$F$6:F354,$M$7)</f>
        <v>8.7740483545356712E-2</v>
      </c>
      <c r="I356">
        <f t="shared" si="23"/>
        <v>0.26000299999999754</v>
      </c>
      <c r="J356">
        <f t="shared" si="22"/>
        <v>1</v>
      </c>
    </row>
    <row r="357" spans="1:10" x14ac:dyDescent="0.25">
      <c r="A357" s="2">
        <v>42522</v>
      </c>
      <c r="B357" s="3">
        <v>99.019997000000004</v>
      </c>
      <c r="C357" s="3">
        <v>99.540001000000004</v>
      </c>
      <c r="D357" s="3">
        <v>98.330001999999993</v>
      </c>
      <c r="E357" s="3">
        <v>98.459998999999996</v>
      </c>
      <c r="F357" s="8">
        <f t="shared" si="20"/>
        <v>99.323332066666666</v>
      </c>
      <c r="G357" s="7">
        <f t="shared" si="21"/>
        <v>-0.55999800000000732</v>
      </c>
      <c r="H357" s="5">
        <f>interpolation(F356,$G$7:G356,$F$6:F355,$M$7)</f>
        <v>0.62323347928870243</v>
      </c>
      <c r="I357">
        <f t="shared" si="23"/>
        <v>-0.55999800000000732</v>
      </c>
      <c r="J357">
        <f t="shared" si="22"/>
        <v>0</v>
      </c>
    </row>
    <row r="358" spans="1:10" x14ac:dyDescent="0.25">
      <c r="A358" s="2">
        <v>42523</v>
      </c>
      <c r="B358" s="3">
        <v>97.599997999999999</v>
      </c>
      <c r="C358" s="3">
        <v>97.839995999999999</v>
      </c>
      <c r="D358" s="3">
        <v>96.629997000000003</v>
      </c>
      <c r="E358" s="3">
        <v>97.720000999999996</v>
      </c>
      <c r="F358" s="8">
        <f t="shared" si="20"/>
        <v>98.762665066666671</v>
      </c>
      <c r="G358" s="7">
        <f t="shared" si="21"/>
        <v>0.12000299999999697</v>
      </c>
      <c r="H358" s="5">
        <f>interpolation(F357,$G$7:G357,$F$6:F356,$M$7)</f>
        <v>-1.2420173340238563</v>
      </c>
      <c r="I358">
        <f t="shared" si="23"/>
        <v>-0.12000299999999697</v>
      </c>
      <c r="J358">
        <f t="shared" si="22"/>
        <v>0</v>
      </c>
    </row>
    <row r="359" spans="1:10" x14ac:dyDescent="0.25">
      <c r="A359" s="2">
        <v>42524</v>
      </c>
      <c r="B359" s="3">
        <v>97.790001000000004</v>
      </c>
      <c r="C359" s="3">
        <v>98.269997000000004</v>
      </c>
      <c r="D359" s="3">
        <v>97.449996999999996</v>
      </c>
      <c r="E359" s="3">
        <v>97.919998000000007</v>
      </c>
      <c r="F359" s="8">
        <f t="shared" si="20"/>
        <v>98.336665733333334</v>
      </c>
      <c r="G359" s="7">
        <f t="shared" si="21"/>
        <v>0.12999700000000303</v>
      </c>
      <c r="H359" s="5">
        <f>interpolation(F358,$G$7:G358,$F$6:F357,$M$7)</f>
        <v>9.6267193466248749E-2</v>
      </c>
      <c r="I359">
        <f t="shared" si="23"/>
        <v>0.12999700000000303</v>
      </c>
      <c r="J359">
        <f t="shared" si="22"/>
        <v>1</v>
      </c>
    </row>
    <row r="360" spans="1:10" x14ac:dyDescent="0.25">
      <c r="A360" s="2">
        <v>42527</v>
      </c>
      <c r="B360" s="3">
        <v>97.989998</v>
      </c>
      <c r="C360" s="3">
        <v>101.889999</v>
      </c>
      <c r="D360" s="3">
        <v>97.550003000000004</v>
      </c>
      <c r="E360" s="3">
        <v>98.629997000000003</v>
      </c>
      <c r="F360" s="8">
        <f t="shared" si="20"/>
        <v>98.103331999999995</v>
      </c>
      <c r="G360" s="7">
        <f t="shared" si="21"/>
        <v>0.63999900000000309</v>
      </c>
      <c r="H360" s="5">
        <f>interpolation(F359,$G$7:G359,$F$6:F358,$M$7)</f>
        <v>0.80324772458609761</v>
      </c>
      <c r="I360">
        <f t="shared" si="23"/>
        <v>0.63999900000000309</v>
      </c>
      <c r="J360">
        <f t="shared" si="22"/>
        <v>1</v>
      </c>
    </row>
    <row r="361" spans="1:10" x14ac:dyDescent="0.25">
      <c r="A361" s="2">
        <v>42528</v>
      </c>
      <c r="B361" s="3">
        <v>99.25</v>
      </c>
      <c r="C361" s="3">
        <v>99.870002999999997</v>
      </c>
      <c r="D361" s="3">
        <v>98.959998999999996</v>
      </c>
      <c r="E361" s="3">
        <v>99.029999000000004</v>
      </c>
      <c r="F361" s="8">
        <f t="shared" si="20"/>
        <v>98.386665866666661</v>
      </c>
      <c r="G361" s="7">
        <f t="shared" si="21"/>
        <v>-0.22000099999999634</v>
      </c>
      <c r="H361" s="5">
        <f>interpolation(F360,$G$7:G360,$F$6:F359,$M$7)</f>
        <v>1.3292260700241672</v>
      </c>
      <c r="I361">
        <f t="shared" si="23"/>
        <v>-0.22000099999999634</v>
      </c>
      <c r="J361">
        <f t="shared" si="22"/>
        <v>0</v>
      </c>
    </row>
    <row r="362" spans="1:10" x14ac:dyDescent="0.25">
      <c r="A362" s="2">
        <v>42529</v>
      </c>
      <c r="B362" s="3">
        <v>99.019997000000004</v>
      </c>
      <c r="C362" s="3">
        <v>99.559997999999993</v>
      </c>
      <c r="D362" s="3">
        <v>98.68</v>
      </c>
      <c r="E362" s="3">
        <v>98.940002000000007</v>
      </c>
      <c r="F362" s="8">
        <f t="shared" si="20"/>
        <v>98.616665266666658</v>
      </c>
      <c r="G362" s="7">
        <f t="shared" si="21"/>
        <v>-7.9994999999996708E-2</v>
      </c>
      <c r="H362" s="5">
        <f>interpolation(F361,$G$7:G361,$F$6:F360,$M$7)</f>
        <v>0.57199805493171685</v>
      </c>
      <c r="I362">
        <f t="shared" si="23"/>
        <v>-7.9994999999996708E-2</v>
      </c>
      <c r="J362">
        <f t="shared" si="22"/>
        <v>0</v>
      </c>
    </row>
    <row r="363" spans="1:10" x14ac:dyDescent="0.25">
      <c r="A363" s="2">
        <v>42530</v>
      </c>
      <c r="B363" s="3">
        <v>98.5</v>
      </c>
      <c r="C363" s="3">
        <v>99.989998</v>
      </c>
      <c r="D363" s="3">
        <v>98.459998999999996</v>
      </c>
      <c r="E363" s="3">
        <v>99.650002000000001</v>
      </c>
      <c r="F363" s="8">
        <f t="shared" si="20"/>
        <v>98.673332333333335</v>
      </c>
      <c r="G363" s="7">
        <f t="shared" si="21"/>
        <v>1.1500020000000006</v>
      </c>
      <c r="H363" s="5">
        <f>interpolation(F362,$G$7:G362,$F$6:F361,$M$7)</f>
        <v>0.2710185160091787</v>
      </c>
      <c r="I363">
        <f t="shared" si="23"/>
        <v>1.1500020000000006</v>
      </c>
      <c r="J363">
        <f t="shared" si="22"/>
        <v>1</v>
      </c>
    </row>
    <row r="364" spans="1:10" x14ac:dyDescent="0.25">
      <c r="A364" s="2">
        <v>42531</v>
      </c>
      <c r="B364" s="3">
        <v>98.529999000000004</v>
      </c>
      <c r="C364" s="3">
        <v>99.349997999999999</v>
      </c>
      <c r="D364" s="3">
        <v>98.480002999999996</v>
      </c>
      <c r="E364" s="3">
        <v>98.830001999999993</v>
      </c>
      <c r="F364" s="8">
        <f t="shared" si="20"/>
        <v>98.679998933333337</v>
      </c>
      <c r="G364" s="7">
        <f t="shared" si="21"/>
        <v>0.30000299999998958</v>
      </c>
      <c r="H364" s="5">
        <f>interpolation(F363,$G$7:G363,$F$6:F362,$M$7)</f>
        <v>0.75410631154468521</v>
      </c>
      <c r="I364">
        <f t="shared" si="23"/>
        <v>0.30000299999998958</v>
      </c>
      <c r="J364">
        <f t="shared" si="22"/>
        <v>1</v>
      </c>
    </row>
    <row r="365" spans="1:10" x14ac:dyDescent="0.25">
      <c r="A365" s="2">
        <v>42534</v>
      </c>
      <c r="B365" s="3">
        <v>98.690002000000007</v>
      </c>
      <c r="C365" s="3">
        <v>99.120002999999997</v>
      </c>
      <c r="D365" s="3">
        <v>97.099997999999999</v>
      </c>
      <c r="E365" s="3">
        <v>97.339995999999999</v>
      </c>
      <c r="F365" s="8">
        <f t="shared" si="20"/>
        <v>98.690666666666672</v>
      </c>
      <c r="G365" s="7">
        <f t="shared" si="21"/>
        <v>-1.3500060000000076</v>
      </c>
      <c r="H365" s="5">
        <f>interpolation(F364,$G$7:G364,$F$6:F363,$M$7)</f>
        <v>0.28731602673374762</v>
      </c>
      <c r="I365">
        <f t="shared" si="23"/>
        <v>-1.3500060000000076</v>
      </c>
      <c r="J365">
        <f t="shared" si="22"/>
        <v>0</v>
      </c>
    </row>
    <row r="366" spans="1:10" x14ac:dyDescent="0.25">
      <c r="A366" s="2">
        <v>42535</v>
      </c>
      <c r="B366" s="3">
        <v>97.32</v>
      </c>
      <c r="C366" s="3">
        <v>98.480002999999996</v>
      </c>
      <c r="D366" s="3">
        <v>96.75</v>
      </c>
      <c r="E366" s="3">
        <v>97.459998999999996</v>
      </c>
      <c r="F366" s="8">
        <f t="shared" si="20"/>
        <v>98.198000133333338</v>
      </c>
      <c r="G366" s="7">
        <f t="shared" si="21"/>
        <v>0.13999900000000309</v>
      </c>
      <c r="H366" s="5">
        <f>interpolation(F365,$G$7:G365,$F$6:F364,$M$7)</f>
        <v>-1.1590175419712123</v>
      </c>
      <c r="I366">
        <f t="shared" si="23"/>
        <v>-0.13999900000000309</v>
      </c>
      <c r="J366">
        <f t="shared" si="22"/>
        <v>0</v>
      </c>
    </row>
    <row r="367" spans="1:10" x14ac:dyDescent="0.25">
      <c r="A367" s="2">
        <v>42536</v>
      </c>
      <c r="B367" s="3">
        <v>97.82</v>
      </c>
      <c r="C367" s="3">
        <v>98.410004000000001</v>
      </c>
      <c r="D367" s="3">
        <v>97.029999000000004</v>
      </c>
      <c r="E367" s="3">
        <v>97.139999000000003</v>
      </c>
      <c r="F367" s="8">
        <f t="shared" si="20"/>
        <v>98.000666933333335</v>
      </c>
      <c r="G367" s="7">
        <f t="shared" si="21"/>
        <v>-0.68000099999999009</v>
      </c>
      <c r="H367" s="5">
        <f>interpolation(F366,$G$7:G366,$F$6:F365,$M$7)</f>
        <v>-0.1623147211982528</v>
      </c>
      <c r="I367">
        <f t="shared" si="23"/>
        <v>0.68000099999999009</v>
      </c>
      <c r="J367">
        <f t="shared" si="22"/>
        <v>1</v>
      </c>
    </row>
    <row r="368" spans="1:10" x14ac:dyDescent="0.25">
      <c r="A368" s="2">
        <v>42537</v>
      </c>
      <c r="B368" s="3">
        <v>96.449996999999996</v>
      </c>
      <c r="C368" s="3">
        <v>97.75</v>
      </c>
      <c r="D368" s="3">
        <v>96.07</v>
      </c>
      <c r="E368" s="3">
        <v>97.550003000000004</v>
      </c>
      <c r="F368" s="8">
        <f t="shared" si="20"/>
        <v>97.426665866666653</v>
      </c>
      <c r="G368" s="7">
        <f t="shared" si="21"/>
        <v>1.1000060000000076</v>
      </c>
      <c r="H368" s="5">
        <f>interpolation(F367,$G$7:G367,$F$6:F366,$M$7)</f>
        <v>0.771106686398915</v>
      </c>
      <c r="I368">
        <f t="shared" si="23"/>
        <v>1.1000060000000076</v>
      </c>
      <c r="J368">
        <f t="shared" si="22"/>
        <v>1</v>
      </c>
    </row>
    <row r="369" spans="1:10" x14ac:dyDescent="0.25">
      <c r="A369" s="2">
        <v>42538</v>
      </c>
      <c r="B369" s="3">
        <v>96.620002999999997</v>
      </c>
      <c r="C369" s="3">
        <v>96.650002000000001</v>
      </c>
      <c r="D369" s="3">
        <v>95.300003000000004</v>
      </c>
      <c r="E369" s="3">
        <v>95.330001999999993</v>
      </c>
      <c r="F369" s="8">
        <f t="shared" si="20"/>
        <v>97.046000333333325</v>
      </c>
      <c r="G369" s="7">
        <f t="shared" si="21"/>
        <v>-1.2900010000000037</v>
      </c>
      <c r="H369" s="5">
        <f>interpolation(F368,$G$7:G368,$F$6:F367,$M$7)</f>
        <v>-0.29912910930204328</v>
      </c>
      <c r="I369">
        <f t="shared" si="23"/>
        <v>1.2900010000000037</v>
      </c>
      <c r="J369">
        <f t="shared" si="22"/>
        <v>1</v>
      </c>
    </row>
    <row r="370" spans="1:10" x14ac:dyDescent="0.25">
      <c r="A370" s="2">
        <v>42541</v>
      </c>
      <c r="B370" s="3">
        <v>96</v>
      </c>
      <c r="C370" s="3">
        <v>96.57</v>
      </c>
      <c r="D370" s="3">
        <v>95.029999000000004</v>
      </c>
      <c r="E370" s="3">
        <v>95.099997999999999</v>
      </c>
      <c r="F370" s="8">
        <f t="shared" si="20"/>
        <v>96.586000200000001</v>
      </c>
      <c r="G370" s="7">
        <f t="shared" si="21"/>
        <v>-0.90000200000000063</v>
      </c>
      <c r="H370" s="5">
        <f>interpolation(F369,$G$7:G369,$F$6:F368,$M$7)</f>
        <v>1.5411163690591563</v>
      </c>
      <c r="I370">
        <f t="shared" si="23"/>
        <v>-0.90000200000000063</v>
      </c>
      <c r="J370">
        <f t="shared" si="22"/>
        <v>0</v>
      </c>
    </row>
    <row r="371" spans="1:10" x14ac:dyDescent="0.25">
      <c r="A371" s="2">
        <v>42542</v>
      </c>
      <c r="B371" s="3">
        <v>94.940002000000007</v>
      </c>
      <c r="C371" s="3">
        <v>96.349997999999999</v>
      </c>
      <c r="D371" s="3">
        <v>94.68</v>
      </c>
      <c r="E371" s="3">
        <v>95.910004000000001</v>
      </c>
      <c r="F371" s="8">
        <f t="shared" si="20"/>
        <v>95.952000866666666</v>
      </c>
      <c r="G371" s="7">
        <f t="shared" si="21"/>
        <v>0.97000199999999381</v>
      </c>
      <c r="H371" s="5">
        <f>interpolation(F370,$G$7:G370,$F$6:F369,$M$7)</f>
        <v>0.99570761002120267</v>
      </c>
      <c r="I371">
        <f t="shared" si="23"/>
        <v>0.97000199999999381</v>
      </c>
      <c r="J371">
        <f t="shared" si="22"/>
        <v>1</v>
      </c>
    </row>
    <row r="372" spans="1:10" x14ac:dyDescent="0.25">
      <c r="A372" s="2">
        <v>42543</v>
      </c>
      <c r="B372" s="3">
        <v>96.25</v>
      </c>
      <c r="C372" s="3">
        <v>96.889999000000003</v>
      </c>
      <c r="D372" s="3">
        <v>95.349997999999999</v>
      </c>
      <c r="E372" s="3">
        <v>95.550003000000004</v>
      </c>
      <c r="F372" s="8">
        <f t="shared" si="20"/>
        <v>95.913334066666664</v>
      </c>
      <c r="G372" s="7">
        <f t="shared" si="21"/>
        <v>-0.69999699999999621</v>
      </c>
      <c r="H372" s="5">
        <f>interpolation(F371,$G$7:G371,$F$6:F370,$M$7)</f>
        <v>-7.2993126130340008E-2</v>
      </c>
      <c r="I372">
        <f t="shared" si="23"/>
        <v>0.69999699999999621</v>
      </c>
      <c r="J372">
        <f t="shared" si="22"/>
        <v>1</v>
      </c>
    </row>
    <row r="373" spans="1:10" x14ac:dyDescent="0.25">
      <c r="A373" s="2">
        <v>42544</v>
      </c>
      <c r="B373" s="3">
        <v>95.940002000000007</v>
      </c>
      <c r="C373" s="3">
        <v>96.290001000000004</v>
      </c>
      <c r="D373" s="3">
        <v>95.25</v>
      </c>
      <c r="E373" s="3">
        <v>96.099997999999999</v>
      </c>
      <c r="F373" s="8">
        <f t="shared" si="20"/>
        <v>95.876001266666663</v>
      </c>
      <c r="G373" s="7">
        <f t="shared" si="21"/>
        <v>0.15999599999999248</v>
      </c>
      <c r="H373" s="5">
        <f>interpolation(F372,$G$7:G372,$F$6:F371,$M$7)</f>
        <v>-0.12865861994251732</v>
      </c>
      <c r="I373">
        <f t="shared" si="23"/>
        <v>-0.15999599999999248</v>
      </c>
      <c r="J373">
        <f t="shared" si="22"/>
        <v>0</v>
      </c>
    </row>
  </sheetData>
  <phoneticPr fontId="1" type="noConversion"/>
  <dataValidations count="2">
    <dataValidation type="list" allowBlank="1" showInputMessage="1" showErrorMessage="1" sqref="M6">
      <formula1>"simpleMovingAverage,weightedMovingAverage"</formula1>
    </dataValidation>
    <dataValidation type="list" allowBlank="1" showInputMessage="1" showErrorMessage="1" sqref="M7">
      <formula1>"nearestNeighbor,linearInterpolation"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Back Testing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 Lu</dc:creator>
  <cp:lastModifiedBy>user</cp:lastModifiedBy>
  <dcterms:created xsi:type="dcterms:W3CDTF">2016-09-24T01:10:06Z</dcterms:created>
  <dcterms:modified xsi:type="dcterms:W3CDTF">2016-10-29T13:19:22Z</dcterms:modified>
</cp:coreProperties>
</file>